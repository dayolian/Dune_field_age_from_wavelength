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aarchbold/Desktop/dune_age_project/"/>
    </mc:Choice>
  </mc:AlternateContent>
  <xr:revisionPtr revIDLastSave="0" documentId="13_ncr:1_{03CB3307-20C6-264E-A1D1-538D4D045B10}" xr6:coauthVersionLast="47" xr6:coauthVersionMax="47" xr10:uidLastSave="{00000000-0000-0000-0000-000000000000}"/>
  <bookViews>
    <workbookView xWindow="2600" yWindow="960" windowWidth="24520" windowHeight="16000" xr2:uid="{2F0072BD-8642-5B48-BF67-63D4A6F0B7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09" i="1" l="1"/>
  <c r="H2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L18" i="1" s="1"/>
  <c r="H19" i="1"/>
  <c r="L19" i="1" s="1"/>
  <c r="H20" i="1"/>
  <c r="H22" i="1"/>
  <c r="H23" i="1"/>
  <c r="H24" i="1"/>
  <c r="H25" i="1"/>
  <c r="H26" i="1"/>
  <c r="L26" i="1" s="1"/>
  <c r="H27" i="1"/>
  <c r="H28" i="1"/>
  <c r="H29" i="1"/>
  <c r="H30" i="1"/>
  <c r="H31" i="1"/>
  <c r="H32" i="1"/>
  <c r="H33" i="1"/>
  <c r="H34" i="1"/>
  <c r="L34" i="1" s="1"/>
  <c r="H35" i="1"/>
  <c r="H36" i="1"/>
  <c r="L36" i="1" s="1"/>
  <c r="M36" i="1" s="1"/>
  <c r="H37" i="1"/>
  <c r="H38" i="1"/>
  <c r="H39" i="1"/>
  <c r="H40" i="1"/>
  <c r="H41" i="1"/>
  <c r="H42" i="1"/>
  <c r="L42" i="1" s="1"/>
  <c r="H43" i="1"/>
  <c r="H44" i="1"/>
  <c r="L44" i="1" s="1"/>
  <c r="M44" i="1" s="1"/>
  <c r="H45" i="1"/>
  <c r="H46" i="1"/>
  <c r="H47" i="1"/>
  <c r="H48" i="1"/>
  <c r="H49" i="1"/>
  <c r="H50" i="1"/>
  <c r="L50" i="1" s="1"/>
  <c r="H51" i="1"/>
  <c r="H52" i="1"/>
  <c r="L52" i="1" s="1"/>
  <c r="M52" i="1" s="1"/>
  <c r="H53" i="1"/>
  <c r="H54" i="1"/>
  <c r="H55" i="1"/>
  <c r="H56" i="1"/>
  <c r="H57" i="1"/>
  <c r="H58" i="1"/>
  <c r="L58" i="1" s="1"/>
  <c r="H59" i="1"/>
  <c r="H60" i="1"/>
  <c r="H61" i="1"/>
  <c r="H62" i="1"/>
  <c r="H63" i="1"/>
  <c r="H64" i="1"/>
  <c r="H65" i="1"/>
  <c r="H66" i="1"/>
  <c r="L66" i="1" s="1"/>
  <c r="M66" i="1" s="1"/>
  <c r="H67" i="1"/>
  <c r="H68" i="1"/>
  <c r="J68" i="1" s="1"/>
  <c r="N68" i="1" s="1"/>
  <c r="H69" i="1"/>
  <c r="H70" i="1"/>
  <c r="H71" i="1"/>
  <c r="H72" i="1"/>
  <c r="L72" i="1" s="1"/>
  <c r="H73" i="1"/>
  <c r="H74" i="1"/>
  <c r="H75" i="1"/>
  <c r="H76" i="1"/>
  <c r="J76" i="1" s="1"/>
  <c r="N76" i="1" s="1"/>
  <c r="H77" i="1"/>
  <c r="H78" i="1"/>
  <c r="H79" i="1"/>
  <c r="H80" i="1"/>
  <c r="H81" i="1"/>
  <c r="H82" i="1"/>
  <c r="L82" i="1" s="1"/>
  <c r="H83" i="1"/>
  <c r="H84" i="1"/>
  <c r="J84" i="1" s="1"/>
  <c r="N84" i="1" s="1"/>
  <c r="H85" i="1"/>
  <c r="H86" i="1"/>
  <c r="H87" i="1"/>
  <c r="H88" i="1"/>
  <c r="H89" i="1"/>
  <c r="H90" i="1"/>
  <c r="L90" i="1" s="1"/>
  <c r="H91" i="1"/>
  <c r="H92" i="1"/>
  <c r="L92" i="1" s="1"/>
  <c r="M92" i="1" s="1"/>
  <c r="H93" i="1"/>
  <c r="H94" i="1"/>
  <c r="H95" i="1"/>
  <c r="H96" i="1"/>
  <c r="H97" i="1"/>
  <c r="H98" i="1"/>
  <c r="L98" i="1" s="1"/>
  <c r="H99" i="1"/>
  <c r="H100" i="1"/>
  <c r="L100" i="1" s="1"/>
  <c r="M100" i="1" s="1"/>
  <c r="H101" i="1"/>
  <c r="H102" i="1"/>
  <c r="H103" i="1"/>
  <c r="H104" i="1"/>
  <c r="L104" i="1" s="1"/>
  <c r="H105" i="1"/>
  <c r="H106" i="1"/>
  <c r="L106" i="1" s="1"/>
  <c r="H107" i="1"/>
  <c r="H108" i="1"/>
  <c r="L108" i="1" s="1"/>
  <c r="M108" i="1" s="1"/>
  <c r="H109" i="1"/>
  <c r="H110" i="1"/>
  <c r="H111" i="1"/>
  <c r="H112" i="1"/>
  <c r="L112" i="1" s="1"/>
  <c r="H113" i="1"/>
  <c r="H114" i="1"/>
  <c r="L114" i="1" s="1"/>
  <c r="H115" i="1"/>
  <c r="H116" i="1"/>
  <c r="L116" i="1" s="1"/>
  <c r="H117" i="1"/>
  <c r="H118" i="1"/>
  <c r="H119" i="1"/>
  <c r="H120" i="1"/>
  <c r="L120" i="1" s="1"/>
  <c r="H121" i="1"/>
  <c r="H122" i="1"/>
  <c r="L122" i="1" s="1"/>
  <c r="H123" i="1"/>
  <c r="H124" i="1"/>
  <c r="J124" i="1" s="1"/>
  <c r="N124" i="1" s="1"/>
  <c r="H125" i="1"/>
  <c r="H126" i="1"/>
  <c r="H127" i="1"/>
  <c r="H128" i="1"/>
  <c r="H129" i="1"/>
  <c r="H130" i="1"/>
  <c r="L130" i="1" s="1"/>
  <c r="M130" i="1" s="1"/>
  <c r="H131" i="1"/>
  <c r="H132" i="1"/>
  <c r="J132" i="1" s="1"/>
  <c r="N132" i="1" s="1"/>
  <c r="H133" i="1"/>
  <c r="H134" i="1"/>
  <c r="H135" i="1"/>
  <c r="H136" i="1"/>
  <c r="L136" i="1" s="1"/>
  <c r="H137" i="1"/>
  <c r="H138" i="1"/>
  <c r="H139" i="1"/>
  <c r="H140" i="1"/>
  <c r="J140" i="1" s="1"/>
  <c r="N140" i="1" s="1"/>
  <c r="H141" i="1"/>
  <c r="H142" i="1"/>
  <c r="H143" i="1"/>
  <c r="H144" i="1"/>
  <c r="H145" i="1"/>
  <c r="H146" i="1"/>
  <c r="L146" i="1" s="1"/>
  <c r="H147" i="1"/>
  <c r="H148" i="1"/>
  <c r="J148" i="1" s="1"/>
  <c r="N148" i="1" s="1"/>
  <c r="H149" i="1"/>
  <c r="H150" i="1"/>
  <c r="H151" i="1"/>
  <c r="H152" i="1"/>
  <c r="L152" i="1" s="1"/>
  <c r="H153" i="1"/>
  <c r="H154" i="1"/>
  <c r="L154" i="1" s="1"/>
  <c r="H155" i="1"/>
  <c r="H156" i="1"/>
  <c r="L156" i="1" s="1"/>
  <c r="M156" i="1" s="1"/>
  <c r="H157" i="1"/>
  <c r="H158" i="1"/>
  <c r="H159" i="1"/>
  <c r="H160" i="1"/>
  <c r="H161" i="1"/>
  <c r="H162" i="1"/>
  <c r="L162" i="1" s="1"/>
  <c r="H163" i="1"/>
  <c r="H164" i="1"/>
  <c r="L164" i="1" s="1"/>
  <c r="M164" i="1" s="1"/>
  <c r="H165" i="1"/>
  <c r="H166" i="1"/>
  <c r="H167" i="1"/>
  <c r="H168" i="1"/>
  <c r="L168" i="1" s="1"/>
  <c r="H169" i="1"/>
  <c r="H170" i="1"/>
  <c r="L170" i="1" s="1"/>
  <c r="H171" i="1"/>
  <c r="H172" i="1"/>
  <c r="L172" i="1" s="1"/>
  <c r="M172" i="1" s="1"/>
  <c r="H173" i="1"/>
  <c r="H174" i="1"/>
  <c r="H175" i="1"/>
  <c r="H176" i="1"/>
  <c r="L176" i="1" s="1"/>
  <c r="H177" i="1"/>
  <c r="H178" i="1"/>
  <c r="L178" i="1" s="1"/>
  <c r="H179" i="1"/>
  <c r="H180" i="1"/>
  <c r="L180" i="1" s="1"/>
  <c r="M180" i="1" s="1"/>
  <c r="H181" i="1"/>
  <c r="H182" i="1"/>
  <c r="H183" i="1"/>
  <c r="H184" i="1"/>
  <c r="H185" i="1"/>
  <c r="H186" i="1"/>
  <c r="L186" i="1" s="1"/>
  <c r="H187" i="1"/>
  <c r="H188" i="1"/>
  <c r="H189" i="1"/>
  <c r="H190" i="1"/>
  <c r="H191" i="1"/>
  <c r="H192" i="1"/>
  <c r="H193" i="1"/>
  <c r="H194" i="1"/>
  <c r="L194" i="1" s="1"/>
  <c r="H195" i="1"/>
  <c r="H196" i="1"/>
  <c r="J196" i="1" s="1"/>
  <c r="N196" i="1" s="1"/>
  <c r="H197" i="1"/>
  <c r="H198" i="1"/>
  <c r="L198" i="1" s="1"/>
  <c r="M198" i="1" s="1"/>
  <c r="H199" i="1"/>
  <c r="H200" i="1"/>
  <c r="L200" i="1" s="1"/>
  <c r="H201" i="1"/>
  <c r="H202" i="1"/>
  <c r="H203" i="1"/>
  <c r="H204" i="1"/>
  <c r="J204" i="1" s="1"/>
  <c r="N204" i="1" s="1"/>
  <c r="H205" i="1"/>
  <c r="H206" i="1"/>
  <c r="H207" i="1"/>
  <c r="H208" i="1"/>
  <c r="L208" i="1" s="1"/>
  <c r="H209" i="1"/>
  <c r="H210" i="1"/>
  <c r="L210" i="1" s="1"/>
  <c r="H211" i="1"/>
  <c r="H212" i="1"/>
  <c r="J212" i="1" s="1"/>
  <c r="N212" i="1" s="1"/>
  <c r="H213" i="1"/>
  <c r="H214" i="1"/>
  <c r="H215" i="1"/>
  <c r="H216" i="1"/>
  <c r="H217" i="1"/>
  <c r="H218" i="1"/>
  <c r="L218" i="1" s="1"/>
  <c r="H219" i="1"/>
  <c r="H220" i="1"/>
  <c r="L220" i="1" s="1"/>
  <c r="M220" i="1" s="1"/>
  <c r="H221" i="1"/>
  <c r="H222" i="1"/>
  <c r="H223" i="1"/>
  <c r="L223" i="1" s="1"/>
  <c r="H224" i="1"/>
  <c r="H225" i="1"/>
  <c r="H226" i="1"/>
  <c r="L226" i="1" s="1"/>
  <c r="H227" i="1"/>
  <c r="H228" i="1"/>
  <c r="L228" i="1" s="1"/>
  <c r="M228" i="1" s="1"/>
  <c r="H229" i="1"/>
  <c r="H230" i="1"/>
  <c r="H231" i="1"/>
  <c r="H232" i="1"/>
  <c r="H233" i="1"/>
  <c r="H234" i="1"/>
  <c r="L234" i="1" s="1"/>
  <c r="H235" i="1"/>
  <c r="H236" i="1"/>
  <c r="L236" i="1" s="1"/>
  <c r="M236" i="1" s="1"/>
  <c r="H237" i="1"/>
  <c r="H238" i="1"/>
  <c r="H239" i="1"/>
  <c r="H240" i="1"/>
  <c r="H241" i="1"/>
  <c r="H242" i="1"/>
  <c r="L242" i="1" s="1"/>
  <c r="H243" i="1"/>
  <c r="H244" i="1"/>
  <c r="L244" i="1" s="1"/>
  <c r="M244" i="1" s="1"/>
  <c r="H245" i="1"/>
  <c r="L245" i="1" s="1"/>
  <c r="M245" i="1" s="1"/>
  <c r="H246" i="1"/>
  <c r="H247" i="1"/>
  <c r="H248" i="1"/>
  <c r="L248" i="1" s="1"/>
  <c r="H249" i="1"/>
  <c r="H250" i="1"/>
  <c r="L250" i="1" s="1"/>
  <c r="H251" i="1"/>
  <c r="H252" i="1"/>
  <c r="H253" i="1"/>
  <c r="H254" i="1"/>
  <c r="H255" i="1"/>
  <c r="H256" i="1"/>
  <c r="L256" i="1" s="1"/>
  <c r="H257" i="1"/>
  <c r="H258" i="1"/>
  <c r="L258" i="1" s="1"/>
  <c r="H259" i="1"/>
  <c r="J252" i="1"/>
  <c r="N252" i="1" s="1"/>
  <c r="L216" i="1"/>
  <c r="L184" i="1"/>
  <c r="L144" i="1"/>
  <c r="L88" i="1"/>
  <c r="L80" i="1"/>
  <c r="J60" i="1"/>
  <c r="N60" i="1" s="1"/>
  <c r="L56" i="1"/>
  <c r="L48" i="1"/>
  <c r="L40" i="1"/>
  <c r="L24" i="1"/>
  <c r="J20" i="1"/>
  <c r="N20" i="1" s="1"/>
  <c r="L16" i="1"/>
  <c r="J12" i="1"/>
  <c r="N12" i="1" s="1"/>
  <c r="L8" i="1"/>
  <c r="J4" i="1"/>
  <c r="N4" i="1" s="1"/>
  <c r="L10" i="1"/>
  <c r="L74" i="1"/>
  <c r="L138" i="1"/>
  <c r="L202" i="1"/>
  <c r="H260" i="1"/>
  <c r="H261" i="1"/>
  <c r="H262" i="1"/>
  <c r="H263" i="1"/>
  <c r="L263" i="1" s="1"/>
  <c r="H264" i="1"/>
  <c r="J264" i="1" s="1"/>
  <c r="N264" i="1" s="1"/>
  <c r="H265" i="1"/>
  <c r="H266" i="1"/>
  <c r="H267" i="1"/>
  <c r="L267" i="1" s="1"/>
  <c r="H268" i="1"/>
  <c r="H269" i="1"/>
  <c r="H270" i="1"/>
  <c r="H271" i="1"/>
  <c r="L271" i="1" s="1"/>
  <c r="M271" i="1" s="1"/>
  <c r="H272" i="1"/>
  <c r="L272" i="1" s="1"/>
  <c r="H273" i="1"/>
  <c r="H274" i="1"/>
  <c r="J274" i="1" s="1"/>
  <c r="N274" i="1" s="1"/>
  <c r="H275" i="1"/>
  <c r="H276" i="1"/>
  <c r="H277" i="1"/>
  <c r="H278" i="1"/>
  <c r="L278" i="1" s="1"/>
  <c r="M278" i="1" s="1"/>
  <c r="H279" i="1"/>
  <c r="L279" i="1" s="1"/>
  <c r="M279" i="1" s="1"/>
  <c r="H280" i="1"/>
  <c r="J280" i="1" s="1"/>
  <c r="N280" i="1" s="1"/>
  <c r="H281" i="1"/>
  <c r="H282" i="1"/>
  <c r="H283" i="1"/>
  <c r="H284" i="1"/>
  <c r="H285" i="1"/>
  <c r="H286" i="1"/>
  <c r="H287" i="1"/>
  <c r="L287" i="1" s="1"/>
  <c r="H288" i="1"/>
  <c r="L288" i="1" s="1"/>
  <c r="H289" i="1"/>
  <c r="H290" i="1"/>
  <c r="H291" i="1"/>
  <c r="H292" i="1"/>
  <c r="L292" i="1" s="1"/>
  <c r="H293" i="1"/>
  <c r="H294" i="1"/>
  <c r="H295" i="1"/>
  <c r="L295" i="1" s="1"/>
  <c r="H296" i="1"/>
  <c r="L296" i="1" s="1"/>
  <c r="M296" i="1" s="1"/>
  <c r="H297" i="1"/>
  <c r="H298" i="1"/>
  <c r="H299" i="1"/>
  <c r="H300" i="1"/>
  <c r="H301" i="1"/>
  <c r="H302" i="1"/>
  <c r="H303" i="1"/>
  <c r="L303" i="1" s="1"/>
  <c r="H304" i="1"/>
  <c r="L304" i="1" s="1"/>
  <c r="M304" i="1" s="1"/>
  <c r="H305" i="1"/>
  <c r="H306" i="1"/>
  <c r="J306" i="1" s="1"/>
  <c r="N306" i="1" s="1"/>
  <c r="H307" i="1"/>
  <c r="H308" i="1"/>
  <c r="H309" i="1"/>
  <c r="H310" i="1"/>
  <c r="H311" i="1"/>
  <c r="L311" i="1" s="1"/>
  <c r="H312" i="1"/>
  <c r="J312" i="1" s="1"/>
  <c r="N312" i="1" s="1"/>
  <c r="H313" i="1"/>
  <c r="H314" i="1"/>
  <c r="J314" i="1" s="1"/>
  <c r="N314" i="1" s="1"/>
  <c r="H315" i="1"/>
  <c r="H316" i="1"/>
  <c r="H317" i="1"/>
  <c r="L317" i="1" s="1"/>
  <c r="H318" i="1"/>
  <c r="H319" i="1"/>
  <c r="L319" i="1" s="1"/>
  <c r="H320" i="1"/>
  <c r="J320" i="1" s="1"/>
  <c r="N320" i="1" s="1"/>
  <c r="H321" i="1"/>
  <c r="H322" i="1"/>
  <c r="J322" i="1" s="1"/>
  <c r="N322" i="1" s="1"/>
  <c r="H323" i="1"/>
  <c r="H324" i="1"/>
  <c r="H325" i="1"/>
  <c r="H326" i="1"/>
  <c r="H327" i="1"/>
  <c r="L327" i="1" s="1"/>
  <c r="H328" i="1"/>
  <c r="L328" i="1" s="1"/>
  <c r="H329" i="1"/>
  <c r="H330" i="1"/>
  <c r="H331" i="1"/>
  <c r="H332" i="1"/>
  <c r="H333" i="1"/>
  <c r="H334" i="1"/>
  <c r="H335" i="1"/>
  <c r="L335" i="1" s="1"/>
  <c r="M335" i="1" s="1"/>
  <c r="H336" i="1"/>
  <c r="H337" i="1"/>
  <c r="H338" i="1"/>
  <c r="H339" i="1"/>
  <c r="L339" i="1" s="1"/>
  <c r="H340" i="1"/>
  <c r="H341" i="1"/>
  <c r="H342" i="1"/>
  <c r="H343" i="1"/>
  <c r="L343" i="1" s="1"/>
  <c r="H344" i="1"/>
  <c r="L344" i="1" s="1"/>
  <c r="H345" i="1"/>
  <c r="H346" i="1"/>
  <c r="H347" i="1"/>
  <c r="H348" i="1"/>
  <c r="H349" i="1"/>
  <c r="L349" i="1" s="1"/>
  <c r="H350" i="1"/>
  <c r="L350" i="1" s="1"/>
  <c r="M350" i="1" s="1"/>
  <c r="H351" i="1"/>
  <c r="L351" i="1" s="1"/>
  <c r="M351" i="1" s="1"/>
  <c r="H352" i="1"/>
  <c r="L352" i="1" s="1"/>
  <c r="M352" i="1" s="1"/>
  <c r="H353" i="1"/>
  <c r="H354" i="1"/>
  <c r="H355" i="1"/>
  <c r="H356" i="1"/>
  <c r="H357" i="1"/>
  <c r="H358" i="1"/>
  <c r="H359" i="1"/>
  <c r="L359" i="1" s="1"/>
  <c r="H360" i="1"/>
  <c r="L360" i="1" s="1"/>
  <c r="H361" i="1"/>
  <c r="H362" i="1"/>
  <c r="H363" i="1"/>
  <c r="L363" i="1" s="1"/>
  <c r="H364" i="1"/>
  <c r="L364" i="1" s="1"/>
  <c r="H365" i="1"/>
  <c r="H366" i="1"/>
  <c r="H367" i="1"/>
  <c r="L367" i="1" s="1"/>
  <c r="H368" i="1"/>
  <c r="L368" i="1" s="1"/>
  <c r="M368" i="1" s="1"/>
  <c r="H369" i="1"/>
  <c r="H370" i="1"/>
  <c r="J370" i="1" s="1"/>
  <c r="N370" i="1" s="1"/>
  <c r="H371" i="1"/>
  <c r="H372" i="1"/>
  <c r="H373" i="1"/>
  <c r="L373" i="1" s="1"/>
  <c r="M373" i="1" s="1"/>
  <c r="H374" i="1"/>
  <c r="L374" i="1" s="1"/>
  <c r="H375" i="1"/>
  <c r="L375" i="1" s="1"/>
  <c r="H376" i="1"/>
  <c r="J376" i="1" s="1"/>
  <c r="N376" i="1" s="1"/>
  <c r="H377" i="1"/>
  <c r="H378" i="1"/>
  <c r="J378" i="1" s="1"/>
  <c r="N378" i="1" s="1"/>
  <c r="H379" i="1"/>
  <c r="H380" i="1"/>
  <c r="H381" i="1"/>
  <c r="H382" i="1"/>
  <c r="L382" i="1" s="1"/>
  <c r="H383" i="1"/>
  <c r="L383" i="1" s="1"/>
  <c r="H384" i="1"/>
  <c r="L384" i="1" s="1"/>
  <c r="H385" i="1"/>
  <c r="H386" i="1"/>
  <c r="J386" i="1" s="1"/>
  <c r="N386" i="1" s="1"/>
  <c r="H387" i="1"/>
  <c r="H388" i="1"/>
  <c r="H389" i="1"/>
  <c r="H390" i="1"/>
  <c r="H391" i="1"/>
  <c r="L391" i="1" s="1"/>
  <c r="H392" i="1"/>
  <c r="J392" i="1" s="1"/>
  <c r="N392" i="1" s="1"/>
  <c r="H393" i="1"/>
  <c r="H394" i="1"/>
  <c r="H395" i="1"/>
  <c r="L395" i="1" s="1"/>
  <c r="H396" i="1"/>
  <c r="H397" i="1"/>
  <c r="H398" i="1"/>
  <c r="H399" i="1"/>
  <c r="L399" i="1" s="1"/>
  <c r="H400" i="1"/>
  <c r="L400" i="1" s="1"/>
  <c r="H401" i="1"/>
  <c r="H402" i="1"/>
  <c r="J402" i="1" s="1"/>
  <c r="N402" i="1" s="1"/>
  <c r="H403" i="1"/>
  <c r="H404" i="1"/>
  <c r="L404" i="1" s="1"/>
  <c r="H405" i="1"/>
  <c r="L405" i="1" s="1"/>
  <c r="H406" i="1"/>
  <c r="L406" i="1" s="1"/>
  <c r="H407" i="1"/>
  <c r="L407" i="1" s="1"/>
  <c r="H408" i="1"/>
  <c r="J408" i="1" s="1"/>
  <c r="N408" i="1" s="1"/>
  <c r="H409" i="1"/>
  <c r="H410" i="1"/>
  <c r="H411" i="1"/>
  <c r="H412" i="1"/>
  <c r="H413" i="1"/>
  <c r="H414" i="1"/>
  <c r="H415" i="1"/>
  <c r="L415" i="1" s="1"/>
  <c r="H416" i="1"/>
  <c r="L416" i="1" s="1"/>
  <c r="H417" i="1"/>
  <c r="H418" i="1"/>
  <c r="H419" i="1"/>
  <c r="L419" i="1" s="1"/>
  <c r="H420" i="1"/>
  <c r="L420" i="1" s="1"/>
  <c r="H421" i="1"/>
  <c r="H422" i="1"/>
  <c r="H423" i="1"/>
  <c r="L423" i="1" s="1"/>
  <c r="H424" i="1"/>
  <c r="L424" i="1" s="1"/>
  <c r="M424" i="1" s="1"/>
  <c r="H425" i="1"/>
  <c r="H426" i="1"/>
  <c r="H427" i="1"/>
  <c r="H428" i="1"/>
  <c r="H429" i="1"/>
  <c r="L429" i="1" s="1"/>
  <c r="H430" i="1"/>
  <c r="L430" i="1" s="1"/>
  <c r="H431" i="1"/>
  <c r="L431" i="1" s="1"/>
  <c r="H432" i="1"/>
  <c r="J432" i="1" s="1"/>
  <c r="N432" i="1" s="1"/>
  <c r="H433" i="1"/>
  <c r="H434" i="1"/>
  <c r="J434" i="1" s="1"/>
  <c r="N434" i="1" s="1"/>
  <c r="H435" i="1"/>
  <c r="J435" i="1" s="1"/>
  <c r="N435" i="1" s="1"/>
  <c r="H436" i="1"/>
  <c r="H437" i="1"/>
  <c r="H438" i="1"/>
  <c r="H439" i="1"/>
  <c r="L439" i="1" s="1"/>
  <c r="H440" i="1"/>
  <c r="J440" i="1" s="1"/>
  <c r="N440" i="1" s="1"/>
  <c r="H441" i="1"/>
  <c r="H442" i="1"/>
  <c r="J442" i="1" s="1"/>
  <c r="N442" i="1" s="1"/>
  <c r="H443" i="1"/>
  <c r="L443" i="1" s="1"/>
  <c r="H444" i="1"/>
  <c r="L444" i="1" s="1"/>
  <c r="H445" i="1"/>
  <c r="J445" i="1" s="1"/>
  <c r="N445" i="1" s="1"/>
  <c r="H446" i="1"/>
  <c r="H447" i="1"/>
  <c r="L447" i="1" s="1"/>
  <c r="H448" i="1"/>
  <c r="L448" i="1" s="1"/>
  <c r="H449" i="1"/>
  <c r="H450" i="1"/>
  <c r="J450" i="1" s="1"/>
  <c r="N450" i="1" s="1"/>
  <c r="H451" i="1"/>
  <c r="H452" i="1"/>
  <c r="H453" i="1"/>
  <c r="L453" i="1" s="1"/>
  <c r="H454" i="1"/>
  <c r="L454" i="1" s="1"/>
  <c r="H455" i="1"/>
  <c r="L455" i="1" s="1"/>
  <c r="H456" i="1"/>
  <c r="J456" i="1" s="1"/>
  <c r="N456" i="1" s="1"/>
  <c r="H457" i="1"/>
  <c r="H458" i="1"/>
  <c r="J458" i="1" s="1"/>
  <c r="N458" i="1" s="1"/>
  <c r="H459" i="1"/>
  <c r="H460" i="1"/>
  <c r="H461" i="1"/>
  <c r="H462" i="1"/>
  <c r="H463" i="1"/>
  <c r="L463" i="1" s="1"/>
  <c r="H464" i="1"/>
  <c r="L464" i="1" s="1"/>
  <c r="H465" i="1"/>
  <c r="H466" i="1"/>
  <c r="J466" i="1" s="1"/>
  <c r="N466" i="1" s="1"/>
  <c r="H467" i="1"/>
  <c r="L467" i="1" s="1"/>
  <c r="H468" i="1"/>
  <c r="L468" i="1" s="1"/>
  <c r="H469" i="1"/>
  <c r="H470" i="1"/>
  <c r="H471" i="1"/>
  <c r="L471" i="1" s="1"/>
  <c r="H472" i="1"/>
  <c r="J472" i="1" s="1"/>
  <c r="N472" i="1" s="1"/>
  <c r="H473" i="1"/>
  <c r="H474" i="1"/>
  <c r="H475" i="1"/>
  <c r="H476" i="1"/>
  <c r="J476" i="1" s="1"/>
  <c r="N476" i="1" s="1"/>
  <c r="H477" i="1"/>
  <c r="L477" i="1" s="1"/>
  <c r="H478" i="1"/>
  <c r="L478" i="1" s="1"/>
  <c r="H479" i="1"/>
  <c r="L479" i="1" s="1"/>
  <c r="H480" i="1"/>
  <c r="L480" i="1" s="1"/>
  <c r="H481" i="1"/>
  <c r="H482" i="1"/>
  <c r="H483" i="1"/>
  <c r="H484" i="1"/>
  <c r="H485" i="1"/>
  <c r="H486" i="1"/>
  <c r="J486" i="1" s="1"/>
  <c r="N486" i="1" s="1"/>
  <c r="H487" i="1"/>
  <c r="L487" i="1" s="1"/>
  <c r="H488" i="1"/>
  <c r="J488" i="1" s="1"/>
  <c r="N488" i="1" s="1"/>
  <c r="H489" i="1"/>
  <c r="H490" i="1"/>
  <c r="H491" i="1"/>
  <c r="L491" i="1" s="1"/>
  <c r="H492" i="1"/>
  <c r="L492" i="1" s="1"/>
  <c r="H493" i="1"/>
  <c r="H494" i="1"/>
  <c r="H495" i="1"/>
  <c r="L495" i="1" s="1"/>
  <c r="H496" i="1"/>
  <c r="J496" i="1" s="1"/>
  <c r="N496" i="1" s="1"/>
  <c r="H497" i="1"/>
  <c r="H498" i="1"/>
  <c r="J498" i="1" s="1"/>
  <c r="N498" i="1" s="1"/>
  <c r="H499" i="1"/>
  <c r="H500" i="1"/>
  <c r="H501" i="1"/>
  <c r="L501" i="1" s="1"/>
  <c r="H502" i="1"/>
  <c r="L502" i="1" s="1"/>
  <c r="H503" i="1"/>
  <c r="L503" i="1" s="1"/>
  <c r="H504" i="1"/>
  <c r="J504" i="1" s="1"/>
  <c r="N504" i="1" s="1"/>
  <c r="H505" i="1"/>
  <c r="H506" i="1"/>
  <c r="J506" i="1" s="1"/>
  <c r="N506" i="1" s="1"/>
  <c r="H507" i="1"/>
  <c r="H508" i="1"/>
  <c r="J508" i="1" s="1"/>
  <c r="N508" i="1" s="1"/>
  <c r="H509" i="1"/>
  <c r="H510" i="1"/>
  <c r="H511" i="1"/>
  <c r="L511" i="1" s="1"/>
  <c r="H512" i="1"/>
  <c r="L512" i="1" s="1"/>
  <c r="H513" i="1"/>
  <c r="H514" i="1"/>
  <c r="H515" i="1"/>
  <c r="L515" i="1" s="1"/>
  <c r="H516" i="1"/>
  <c r="L516" i="1" s="1"/>
  <c r="H517" i="1"/>
  <c r="H518" i="1"/>
  <c r="J518" i="1" s="1"/>
  <c r="N518" i="1" s="1"/>
  <c r="H519" i="1"/>
  <c r="L519" i="1" s="1"/>
  <c r="H520" i="1"/>
  <c r="L520" i="1" s="1"/>
  <c r="H521" i="1"/>
  <c r="H522" i="1"/>
  <c r="J522" i="1" s="1"/>
  <c r="N522" i="1" s="1"/>
  <c r="H523" i="1"/>
  <c r="H524" i="1"/>
  <c r="L524" i="1" s="1"/>
  <c r="H525" i="1"/>
  <c r="L525" i="1" s="1"/>
  <c r="H526" i="1"/>
  <c r="L526" i="1" s="1"/>
  <c r="H527" i="1"/>
  <c r="L527" i="1" s="1"/>
  <c r="H528" i="1"/>
  <c r="H529" i="1"/>
  <c r="H530" i="1"/>
  <c r="J530" i="1" s="1"/>
  <c r="N530" i="1" s="1"/>
  <c r="H531" i="1"/>
  <c r="H532" i="1"/>
  <c r="H533" i="1"/>
  <c r="L533" i="1" s="1"/>
  <c r="H534" i="1"/>
  <c r="L534" i="1" s="1"/>
  <c r="H535" i="1"/>
  <c r="L535" i="1" s="1"/>
  <c r="H536" i="1"/>
  <c r="L536" i="1" s="1"/>
  <c r="H537" i="1"/>
  <c r="H538" i="1"/>
  <c r="H539" i="1"/>
  <c r="J539" i="1" s="1"/>
  <c r="N539" i="1" s="1"/>
  <c r="H540" i="1"/>
  <c r="H541" i="1"/>
  <c r="J541" i="1" s="1"/>
  <c r="N541" i="1" s="1"/>
  <c r="H542" i="1"/>
  <c r="H543" i="1"/>
  <c r="L543" i="1" s="1"/>
  <c r="H544" i="1"/>
  <c r="L544" i="1" s="1"/>
  <c r="H545" i="1"/>
  <c r="H546" i="1"/>
  <c r="H547" i="1"/>
  <c r="L547" i="1" s="1"/>
  <c r="H548" i="1"/>
  <c r="L548" i="1" s="1"/>
  <c r="H549" i="1"/>
  <c r="H550" i="1"/>
  <c r="H551" i="1"/>
  <c r="L551" i="1" s="1"/>
  <c r="M551" i="1" s="1"/>
  <c r="H552" i="1"/>
  <c r="L552" i="1" s="1"/>
  <c r="M552" i="1" s="1"/>
  <c r="H553" i="1"/>
  <c r="H554" i="1"/>
  <c r="H555" i="1"/>
  <c r="H556" i="1"/>
  <c r="H557" i="1"/>
  <c r="H558" i="1"/>
  <c r="L558" i="1" s="1"/>
  <c r="H559" i="1"/>
  <c r="L559" i="1" s="1"/>
  <c r="H560" i="1"/>
  <c r="L560" i="1" s="1"/>
  <c r="M560" i="1" s="1"/>
  <c r="H561" i="1"/>
  <c r="H562" i="1"/>
  <c r="H563" i="1"/>
  <c r="H564" i="1"/>
  <c r="H565" i="1"/>
  <c r="L565" i="1" s="1"/>
  <c r="H566" i="1"/>
  <c r="H567" i="1"/>
  <c r="L567" i="1" s="1"/>
  <c r="H568" i="1"/>
  <c r="J568" i="1" s="1"/>
  <c r="N568" i="1" s="1"/>
  <c r="H569" i="1"/>
  <c r="H570" i="1"/>
  <c r="H571" i="1"/>
  <c r="H572" i="1"/>
  <c r="H573" i="1"/>
  <c r="L573" i="1" s="1"/>
  <c r="H574" i="1"/>
  <c r="H575" i="1"/>
  <c r="L575" i="1" s="1"/>
  <c r="H576" i="1"/>
  <c r="L576" i="1" s="1"/>
  <c r="H577" i="1"/>
  <c r="H578" i="1"/>
  <c r="J578" i="1" s="1"/>
  <c r="N578" i="1" s="1"/>
  <c r="H579" i="1"/>
  <c r="L579" i="1" s="1"/>
  <c r="H580" i="1"/>
  <c r="L580" i="1" s="1"/>
  <c r="H581" i="1"/>
  <c r="H582" i="1"/>
  <c r="H583" i="1"/>
  <c r="L583" i="1" s="1"/>
  <c r="H584" i="1"/>
  <c r="J584" i="1" s="1"/>
  <c r="N584" i="1" s="1"/>
  <c r="H585" i="1"/>
  <c r="H586" i="1"/>
  <c r="J586" i="1" s="1"/>
  <c r="N586" i="1" s="1"/>
  <c r="H587" i="1"/>
  <c r="H588" i="1"/>
  <c r="H589" i="1"/>
  <c r="L589" i="1" s="1"/>
  <c r="H590" i="1"/>
  <c r="L590" i="1" s="1"/>
  <c r="H591" i="1"/>
  <c r="L591" i="1" s="1"/>
  <c r="H592" i="1"/>
  <c r="L592" i="1" s="1"/>
  <c r="M592" i="1" s="1"/>
  <c r="H593" i="1"/>
  <c r="H594" i="1"/>
  <c r="J594" i="1" s="1"/>
  <c r="N594" i="1" s="1"/>
  <c r="H595" i="1"/>
  <c r="L595" i="1" s="1"/>
  <c r="H596" i="1"/>
  <c r="H597" i="1"/>
  <c r="L597" i="1" s="1"/>
  <c r="H598" i="1"/>
  <c r="H599" i="1"/>
  <c r="L599" i="1" s="1"/>
  <c r="H600" i="1"/>
  <c r="L600" i="1" s="1"/>
  <c r="M600" i="1" s="1"/>
  <c r="H601" i="1"/>
  <c r="H602" i="1"/>
  <c r="H603" i="1"/>
  <c r="H604" i="1"/>
  <c r="L604" i="1" s="1"/>
  <c r="H605" i="1"/>
  <c r="L605" i="1" s="1"/>
  <c r="H606" i="1"/>
  <c r="L606" i="1" s="1"/>
  <c r="H607" i="1"/>
  <c r="L607" i="1" s="1"/>
  <c r="H608" i="1"/>
  <c r="L608" i="1" s="1"/>
  <c r="H609" i="1"/>
  <c r="H610" i="1"/>
  <c r="H611" i="1"/>
  <c r="H612" i="1"/>
  <c r="J612" i="1" s="1"/>
  <c r="N612" i="1" s="1"/>
  <c r="H613" i="1"/>
  <c r="L613" i="1" s="1"/>
  <c r="H614" i="1"/>
  <c r="H615" i="1"/>
  <c r="L615" i="1" s="1"/>
  <c r="H616" i="1"/>
  <c r="L616" i="1" s="1"/>
  <c r="M616" i="1" s="1"/>
  <c r="H617" i="1"/>
  <c r="H618" i="1"/>
  <c r="J618" i="1" s="1"/>
  <c r="N618" i="1" s="1"/>
  <c r="H619" i="1"/>
  <c r="L619" i="1" s="1"/>
  <c r="H620" i="1"/>
  <c r="L620" i="1" s="1"/>
  <c r="H621" i="1"/>
  <c r="L621" i="1" s="1"/>
  <c r="H622" i="1"/>
  <c r="J622" i="1" s="1"/>
  <c r="N622" i="1" s="1"/>
  <c r="H623" i="1"/>
  <c r="L623" i="1" s="1"/>
  <c r="H624" i="1"/>
  <c r="L624" i="1" s="1"/>
  <c r="M624" i="1" s="1"/>
  <c r="H625" i="1"/>
  <c r="H626" i="1"/>
  <c r="J626" i="1" s="1"/>
  <c r="N626" i="1" s="1"/>
  <c r="H627" i="1"/>
  <c r="H628" i="1"/>
  <c r="H629" i="1"/>
  <c r="L629" i="1" s="1"/>
  <c r="H630" i="1"/>
  <c r="L630" i="1" s="1"/>
  <c r="H631" i="1"/>
  <c r="L631" i="1" s="1"/>
  <c r="H632" i="1"/>
  <c r="L632" i="1" s="1"/>
  <c r="M632" i="1" s="1"/>
  <c r="H633" i="1"/>
  <c r="H634" i="1"/>
  <c r="H635" i="1"/>
  <c r="H636" i="1"/>
  <c r="H637" i="1"/>
  <c r="L637" i="1" s="1"/>
  <c r="H638" i="1"/>
  <c r="H639" i="1"/>
  <c r="L639" i="1" s="1"/>
  <c r="H640" i="1"/>
  <c r="L640" i="1" s="1"/>
  <c r="H641" i="1"/>
  <c r="H642" i="1"/>
  <c r="H643" i="1"/>
  <c r="L643" i="1" s="1"/>
  <c r="H644" i="1"/>
  <c r="H645" i="1"/>
  <c r="L645" i="1" s="1"/>
  <c r="H646" i="1"/>
  <c r="H647" i="1"/>
  <c r="L647" i="1" s="1"/>
  <c r="H648" i="1"/>
  <c r="L648" i="1" s="1"/>
  <c r="M648" i="1" s="1"/>
  <c r="H649" i="1"/>
  <c r="H650" i="1"/>
  <c r="J650" i="1" s="1"/>
  <c r="N650" i="1" s="1"/>
  <c r="H651" i="1"/>
  <c r="H652" i="1"/>
  <c r="H653" i="1"/>
  <c r="J653" i="1" s="1"/>
  <c r="N653" i="1" s="1"/>
  <c r="H654" i="1"/>
  <c r="H655" i="1"/>
  <c r="L655" i="1" s="1"/>
  <c r="H656" i="1"/>
  <c r="L656" i="1" s="1"/>
  <c r="M656" i="1" s="1"/>
  <c r="H657" i="1"/>
  <c r="H658" i="1"/>
  <c r="H659" i="1"/>
  <c r="H660" i="1"/>
  <c r="H661" i="1"/>
  <c r="L661" i="1" s="1"/>
  <c r="H662" i="1"/>
  <c r="H663" i="1"/>
  <c r="L663" i="1" s="1"/>
  <c r="H664" i="1"/>
  <c r="L664" i="1" s="1"/>
  <c r="M664" i="1" s="1"/>
  <c r="H665" i="1"/>
  <c r="H666" i="1"/>
  <c r="H667" i="1"/>
  <c r="L667" i="1" s="1"/>
  <c r="H668" i="1"/>
  <c r="L668" i="1" s="1"/>
  <c r="H669" i="1"/>
  <c r="L669" i="1" s="1"/>
  <c r="H670" i="1"/>
  <c r="H671" i="1"/>
  <c r="L671" i="1" s="1"/>
  <c r="H672" i="1"/>
  <c r="L672" i="1" s="1"/>
  <c r="H673" i="1"/>
  <c r="H674" i="1"/>
  <c r="H675" i="1"/>
  <c r="J675" i="1" s="1"/>
  <c r="N675" i="1" s="1"/>
  <c r="H676" i="1"/>
  <c r="H677" i="1"/>
  <c r="J677" i="1" s="1"/>
  <c r="N677" i="1" s="1"/>
  <c r="H678" i="1"/>
  <c r="L678" i="1" s="1"/>
  <c r="H679" i="1"/>
  <c r="L679" i="1" s="1"/>
  <c r="H680" i="1"/>
  <c r="L680" i="1" s="1"/>
  <c r="M680" i="1" s="1"/>
  <c r="H681" i="1"/>
  <c r="H682" i="1"/>
  <c r="H683" i="1"/>
  <c r="H684" i="1"/>
  <c r="H685" i="1"/>
  <c r="J685" i="1" s="1"/>
  <c r="N685" i="1" s="1"/>
  <c r="H686" i="1"/>
  <c r="H687" i="1"/>
  <c r="L687" i="1" s="1"/>
  <c r="H688" i="1"/>
  <c r="L688" i="1" s="1"/>
  <c r="M688" i="1" s="1"/>
  <c r="H689" i="1"/>
  <c r="H690" i="1"/>
  <c r="H691" i="1"/>
  <c r="L691" i="1" s="1"/>
  <c r="H692" i="1"/>
  <c r="L692" i="1" s="1"/>
  <c r="H693" i="1"/>
  <c r="L693" i="1" s="1"/>
  <c r="H694" i="1"/>
  <c r="H695" i="1"/>
  <c r="L695" i="1" s="1"/>
  <c r="H696" i="1"/>
  <c r="L696" i="1" s="1"/>
  <c r="M696" i="1" s="1"/>
  <c r="H697" i="1"/>
  <c r="H698" i="1"/>
  <c r="H699" i="1"/>
  <c r="H700" i="1"/>
  <c r="H701" i="1"/>
  <c r="L701" i="1" s="1"/>
  <c r="H702" i="1"/>
  <c r="L702" i="1" s="1"/>
  <c r="H703" i="1"/>
  <c r="L703" i="1" s="1"/>
  <c r="H704" i="1"/>
  <c r="L704" i="1" s="1"/>
  <c r="H705" i="1"/>
  <c r="H706" i="1"/>
  <c r="H707" i="1"/>
  <c r="J707" i="1" s="1"/>
  <c r="N707" i="1" s="1"/>
  <c r="H708" i="1"/>
  <c r="H709" i="1"/>
  <c r="L709" i="1" s="1"/>
  <c r="H710" i="1"/>
  <c r="H711" i="1"/>
  <c r="L711" i="1" s="1"/>
  <c r="H712" i="1"/>
  <c r="L712" i="1" s="1"/>
  <c r="M712" i="1" s="1"/>
  <c r="H713" i="1"/>
  <c r="H714" i="1"/>
  <c r="H715" i="1"/>
  <c r="L715" i="1" s="1"/>
  <c r="H716" i="1"/>
  <c r="L716" i="1" s="1"/>
  <c r="H717" i="1"/>
  <c r="J717" i="1" s="1"/>
  <c r="N717" i="1" s="1"/>
  <c r="H718" i="1"/>
  <c r="L718" i="1" s="1"/>
  <c r="H719" i="1"/>
  <c r="L719" i="1" s="1"/>
  <c r="H720" i="1"/>
  <c r="L720" i="1" s="1"/>
  <c r="M720" i="1" s="1"/>
  <c r="H721" i="1"/>
  <c r="H722" i="1"/>
  <c r="J722" i="1" s="1"/>
  <c r="N722" i="1" s="1"/>
  <c r="H723" i="1"/>
  <c r="H724" i="1"/>
  <c r="H725" i="1"/>
  <c r="L725" i="1" s="1"/>
  <c r="H726" i="1"/>
  <c r="H727" i="1"/>
  <c r="L727" i="1" s="1"/>
  <c r="M727" i="1" s="1"/>
  <c r="H728" i="1"/>
  <c r="L728" i="1" s="1"/>
  <c r="M728" i="1" s="1"/>
  <c r="H729" i="1"/>
  <c r="H730" i="1"/>
  <c r="H731" i="1"/>
  <c r="H732" i="1"/>
  <c r="H733" i="1"/>
  <c r="J733" i="1" s="1"/>
  <c r="N733" i="1" s="1"/>
  <c r="H734" i="1"/>
  <c r="L734" i="1" s="1"/>
  <c r="H735" i="1"/>
  <c r="L735" i="1" s="1"/>
  <c r="H736" i="1"/>
  <c r="L736" i="1" s="1"/>
  <c r="H737" i="1"/>
  <c r="H738" i="1"/>
  <c r="H739" i="1"/>
  <c r="L739" i="1" s="1"/>
  <c r="H740" i="1"/>
  <c r="L740" i="1" s="1"/>
  <c r="H741" i="1"/>
  <c r="L741" i="1" s="1"/>
  <c r="H742" i="1"/>
  <c r="H743" i="1"/>
  <c r="L743" i="1" s="1"/>
  <c r="H744" i="1"/>
  <c r="L744" i="1" s="1"/>
  <c r="M744" i="1" s="1"/>
  <c r="H745" i="1"/>
  <c r="H746" i="1"/>
  <c r="J746" i="1" s="1"/>
  <c r="N746" i="1" s="1"/>
  <c r="H747" i="1"/>
  <c r="H748" i="1"/>
  <c r="J748" i="1" s="1"/>
  <c r="N748" i="1" s="1"/>
  <c r="H749" i="1"/>
  <c r="L749" i="1" s="1"/>
  <c r="H750" i="1"/>
  <c r="L750" i="1" s="1"/>
  <c r="H751" i="1"/>
  <c r="L751" i="1" s="1"/>
  <c r="M751" i="1" s="1"/>
  <c r="H752" i="1"/>
  <c r="L752" i="1" s="1"/>
  <c r="M752" i="1" s="1"/>
  <c r="H753" i="1"/>
  <c r="H754" i="1"/>
  <c r="J754" i="1" s="1"/>
  <c r="N754" i="1" s="1"/>
  <c r="H755" i="1"/>
  <c r="L755" i="1" s="1"/>
  <c r="H756" i="1"/>
  <c r="H757" i="1"/>
  <c r="J757" i="1" s="1"/>
  <c r="N757" i="1" s="1"/>
  <c r="H758" i="1"/>
  <c r="J758" i="1" s="1"/>
  <c r="N758" i="1" s="1"/>
  <c r="H759" i="1"/>
  <c r="L759" i="1" s="1"/>
  <c r="H760" i="1"/>
  <c r="L760" i="1" s="1"/>
  <c r="M760" i="1" s="1"/>
  <c r="H761" i="1"/>
  <c r="H762" i="1"/>
  <c r="H763" i="1"/>
  <c r="H764" i="1"/>
  <c r="L764" i="1" s="1"/>
  <c r="H765" i="1"/>
  <c r="L765" i="1" s="1"/>
  <c r="H766" i="1"/>
  <c r="L766" i="1" s="1"/>
  <c r="H767" i="1"/>
  <c r="L767" i="1" s="1"/>
  <c r="H768" i="1"/>
  <c r="L768" i="1" s="1"/>
  <c r="H769" i="1"/>
  <c r="H770" i="1"/>
  <c r="H771" i="1"/>
  <c r="H772" i="1"/>
  <c r="H773" i="1"/>
  <c r="L773" i="1" s="1"/>
  <c r="H774" i="1"/>
  <c r="L774" i="1" s="1"/>
  <c r="H775" i="1"/>
  <c r="L775" i="1" s="1"/>
  <c r="H776" i="1"/>
  <c r="L776" i="1" s="1"/>
  <c r="M776" i="1" s="1"/>
  <c r="H777" i="1"/>
  <c r="H778" i="1"/>
  <c r="J778" i="1" s="1"/>
  <c r="N778" i="1" s="1"/>
  <c r="H779" i="1"/>
  <c r="L779" i="1" s="1"/>
  <c r="H780" i="1"/>
  <c r="H781" i="1"/>
  <c r="J781" i="1" s="1"/>
  <c r="N781" i="1" s="1"/>
  <c r="H782" i="1"/>
  <c r="H783" i="1"/>
  <c r="L783" i="1" s="1"/>
  <c r="H784" i="1"/>
  <c r="L784" i="1" s="1"/>
  <c r="M784" i="1" s="1"/>
  <c r="H785" i="1"/>
  <c r="H786" i="1"/>
  <c r="J786" i="1" s="1"/>
  <c r="N786" i="1" s="1"/>
  <c r="H787" i="1"/>
  <c r="H788" i="1"/>
  <c r="L788" i="1" s="1"/>
  <c r="H789" i="1"/>
  <c r="H790" i="1"/>
  <c r="L790" i="1" s="1"/>
  <c r="H791" i="1"/>
  <c r="L791" i="1" s="1"/>
  <c r="H792" i="1"/>
  <c r="L792" i="1" s="1"/>
  <c r="M792" i="1" s="1"/>
  <c r="H793" i="1"/>
  <c r="L793" i="1" s="1"/>
  <c r="M793" i="1" s="1"/>
  <c r="H794" i="1"/>
  <c r="H795" i="1"/>
  <c r="H796" i="1"/>
  <c r="H797" i="1"/>
  <c r="H798" i="1"/>
  <c r="H799" i="1"/>
  <c r="L799" i="1" s="1"/>
  <c r="H800" i="1"/>
  <c r="L800" i="1" s="1"/>
  <c r="H801" i="1"/>
  <c r="H802" i="1"/>
  <c r="H803" i="1"/>
  <c r="L803" i="1" s="1"/>
  <c r="H804" i="1"/>
  <c r="L804" i="1" s="1"/>
  <c r="H805" i="1"/>
  <c r="L805" i="1" s="1"/>
  <c r="H806" i="1"/>
  <c r="H807" i="1"/>
  <c r="L807" i="1" s="1"/>
  <c r="H808" i="1"/>
  <c r="L808" i="1" s="1"/>
  <c r="M808" i="1" s="1"/>
  <c r="H809" i="1"/>
  <c r="H810" i="1"/>
  <c r="J810" i="1" s="1"/>
  <c r="N810" i="1" s="1"/>
  <c r="H811" i="1"/>
  <c r="J811" i="1" s="1"/>
  <c r="N811" i="1" s="1"/>
  <c r="H812" i="1"/>
  <c r="H813" i="1"/>
  <c r="L813" i="1" s="1"/>
  <c r="H814" i="1"/>
  <c r="L814" i="1" s="1"/>
  <c r="H815" i="1"/>
  <c r="L815" i="1" s="1"/>
  <c r="H816" i="1"/>
  <c r="L816" i="1" s="1"/>
  <c r="M816" i="1" s="1"/>
  <c r="H817" i="1"/>
  <c r="H818" i="1"/>
  <c r="H819" i="1"/>
  <c r="H820" i="1"/>
  <c r="J820" i="1" s="1"/>
  <c r="N820" i="1" s="1"/>
  <c r="H821" i="1"/>
  <c r="L821" i="1" s="1"/>
  <c r="H822" i="1"/>
  <c r="H823" i="1"/>
  <c r="L823" i="1" s="1"/>
  <c r="H824" i="1"/>
  <c r="L824" i="1" s="1"/>
  <c r="M824" i="1" s="1"/>
  <c r="H825" i="1"/>
  <c r="L825" i="1" s="1"/>
  <c r="M825" i="1" s="1"/>
  <c r="H826" i="1"/>
  <c r="L826" i="1" s="1"/>
  <c r="H827" i="1"/>
  <c r="L827" i="1" s="1"/>
  <c r="M827" i="1" s="1"/>
  <c r="H828" i="1"/>
  <c r="L828" i="1" s="1"/>
  <c r="H829" i="1"/>
  <c r="H830" i="1"/>
  <c r="L830" i="1" s="1"/>
  <c r="H831" i="1"/>
  <c r="L831" i="1" s="1"/>
  <c r="H832" i="1"/>
  <c r="L832" i="1" s="1"/>
  <c r="H833" i="1"/>
  <c r="L833" i="1" s="1"/>
  <c r="H834" i="1"/>
  <c r="L834" i="1" s="1"/>
  <c r="H835" i="1"/>
  <c r="H836" i="1"/>
  <c r="H837" i="1"/>
  <c r="H838" i="1"/>
  <c r="J838" i="1" s="1"/>
  <c r="N838" i="1" s="1"/>
  <c r="H839" i="1"/>
  <c r="L839" i="1" s="1"/>
  <c r="H840" i="1"/>
  <c r="J840" i="1" s="1"/>
  <c r="N840" i="1" s="1"/>
  <c r="H841" i="1"/>
  <c r="H842" i="1"/>
  <c r="L842" i="1" s="1"/>
  <c r="H843" i="1"/>
  <c r="L843" i="1" s="1"/>
  <c r="H844" i="1"/>
  <c r="L844" i="1" s="1"/>
  <c r="H845" i="1"/>
  <c r="J845" i="1" s="1"/>
  <c r="N845" i="1" s="1"/>
  <c r="H846" i="1"/>
  <c r="H847" i="1"/>
  <c r="L847" i="1" s="1"/>
  <c r="H848" i="1"/>
  <c r="J848" i="1" s="1"/>
  <c r="N848" i="1" s="1"/>
  <c r="H849" i="1"/>
  <c r="H850" i="1"/>
  <c r="L850" i="1" s="1"/>
  <c r="H851" i="1"/>
  <c r="H852" i="1"/>
  <c r="H853" i="1"/>
  <c r="L853" i="1" s="1"/>
  <c r="H854" i="1"/>
  <c r="L854" i="1" s="1"/>
  <c r="H855" i="1"/>
  <c r="L855" i="1" s="1"/>
  <c r="H856" i="1"/>
  <c r="L856" i="1" s="1"/>
  <c r="M856" i="1" s="1"/>
  <c r="H857" i="1"/>
  <c r="H858" i="1"/>
  <c r="L858" i="1" s="1"/>
  <c r="H859" i="1"/>
  <c r="H860" i="1"/>
  <c r="H861" i="1"/>
  <c r="L861" i="1" s="1"/>
  <c r="H862" i="1"/>
  <c r="H863" i="1"/>
  <c r="L863" i="1" s="1"/>
  <c r="H864" i="1"/>
  <c r="J864" i="1" s="1"/>
  <c r="N864" i="1" s="1"/>
  <c r="H865" i="1"/>
  <c r="H866" i="1"/>
  <c r="H867" i="1"/>
  <c r="L867" i="1" s="1"/>
  <c r="H868" i="1"/>
  <c r="L868" i="1" s="1"/>
  <c r="H869" i="1"/>
  <c r="H870" i="1"/>
  <c r="H871" i="1"/>
  <c r="L871" i="1" s="1"/>
  <c r="H872" i="1"/>
  <c r="L872" i="1" s="1"/>
  <c r="M872" i="1" s="1"/>
  <c r="H873" i="1"/>
  <c r="H874" i="1"/>
  <c r="J874" i="1" s="1"/>
  <c r="N874" i="1" s="1"/>
  <c r="H875" i="1"/>
  <c r="H876" i="1"/>
  <c r="L876" i="1" s="1"/>
  <c r="H877" i="1"/>
  <c r="L877" i="1" s="1"/>
  <c r="H878" i="1"/>
  <c r="L878" i="1" s="1"/>
  <c r="H879" i="1"/>
  <c r="L879" i="1" s="1"/>
  <c r="H880" i="1"/>
  <c r="L880" i="1" s="1"/>
  <c r="M880" i="1" s="1"/>
  <c r="H881" i="1"/>
  <c r="H882" i="1"/>
  <c r="L882" i="1" s="1"/>
  <c r="H883" i="1"/>
  <c r="H884" i="1"/>
  <c r="H885" i="1"/>
  <c r="H886" i="1"/>
  <c r="H887" i="1"/>
  <c r="L887" i="1" s="1"/>
  <c r="H888" i="1"/>
  <c r="L888" i="1" s="1"/>
  <c r="M888" i="1" s="1"/>
  <c r="H889" i="1"/>
  <c r="H890" i="1"/>
  <c r="L890" i="1" s="1"/>
  <c r="H891" i="1"/>
  <c r="L891" i="1" s="1"/>
  <c r="H892" i="1"/>
  <c r="L892" i="1" s="1"/>
  <c r="H893" i="1"/>
  <c r="H894" i="1"/>
  <c r="L894" i="1" s="1"/>
  <c r="H895" i="1"/>
  <c r="L895" i="1" s="1"/>
  <c r="H896" i="1"/>
  <c r="L896" i="1" s="1"/>
  <c r="H897" i="1"/>
  <c r="H898" i="1"/>
  <c r="L898" i="1" s="1"/>
  <c r="H899" i="1"/>
  <c r="H900" i="1"/>
  <c r="H901" i="1"/>
  <c r="L901" i="1" s="1"/>
  <c r="H902" i="1"/>
  <c r="L902" i="1" s="1"/>
  <c r="H903" i="1"/>
  <c r="L903" i="1" s="1"/>
  <c r="H904" i="1"/>
  <c r="L904" i="1" s="1"/>
  <c r="M904" i="1" s="1"/>
  <c r="H905" i="1"/>
  <c r="H906" i="1"/>
  <c r="H907" i="1"/>
  <c r="H908" i="1"/>
  <c r="H909" i="1"/>
  <c r="J909" i="1" s="1"/>
  <c r="N909" i="1" s="1"/>
  <c r="H910" i="1"/>
  <c r="H911" i="1"/>
  <c r="L911" i="1" s="1"/>
  <c r="H912" i="1"/>
  <c r="L912" i="1" s="1"/>
  <c r="M912" i="1" s="1"/>
  <c r="H913" i="1"/>
  <c r="H914" i="1"/>
  <c r="L914" i="1" s="1"/>
  <c r="H915" i="1"/>
  <c r="L915" i="1" s="1"/>
  <c r="H916" i="1"/>
  <c r="L916" i="1" s="1"/>
  <c r="H917" i="1"/>
  <c r="L917" i="1" s="1"/>
  <c r="H918" i="1"/>
  <c r="H919" i="1"/>
  <c r="L919" i="1" s="1"/>
  <c r="H920" i="1"/>
  <c r="L920" i="1" s="1"/>
  <c r="M920" i="1" s="1"/>
  <c r="H921" i="1"/>
  <c r="H922" i="1"/>
  <c r="L922" i="1" s="1"/>
  <c r="H923" i="1"/>
  <c r="H924" i="1"/>
  <c r="H925" i="1"/>
  <c r="L925" i="1" s="1"/>
  <c r="H926" i="1"/>
  <c r="L926" i="1" s="1"/>
  <c r="H927" i="1"/>
  <c r="L927" i="1" s="1"/>
  <c r="H928" i="1"/>
  <c r="L928" i="1" s="1"/>
  <c r="H929" i="1"/>
  <c r="H930" i="1"/>
  <c r="L930" i="1" s="1"/>
  <c r="M930" i="1" s="1"/>
  <c r="H931" i="1"/>
  <c r="H932" i="1"/>
  <c r="H933" i="1"/>
  <c r="L933" i="1" s="1"/>
  <c r="H934" i="1"/>
  <c r="H935" i="1"/>
  <c r="L935" i="1" s="1"/>
  <c r="H936" i="1"/>
  <c r="L936" i="1" s="1"/>
  <c r="M936" i="1" s="1"/>
  <c r="H937" i="1"/>
  <c r="H938" i="1"/>
  <c r="L938" i="1" s="1"/>
  <c r="H939" i="1"/>
  <c r="L939" i="1" s="1"/>
  <c r="H940" i="1"/>
  <c r="L940" i="1" s="1"/>
  <c r="H941" i="1"/>
  <c r="H942" i="1"/>
  <c r="H943" i="1"/>
  <c r="L943" i="1" s="1"/>
  <c r="H944" i="1"/>
  <c r="L944" i="1" s="1"/>
  <c r="M944" i="1" s="1"/>
  <c r="H945" i="1"/>
  <c r="H946" i="1"/>
  <c r="L946" i="1" s="1"/>
  <c r="H947" i="1"/>
  <c r="H948" i="1"/>
  <c r="H949" i="1"/>
  <c r="L949" i="1" s="1"/>
  <c r="H950" i="1"/>
  <c r="L950" i="1" s="1"/>
  <c r="H951" i="1"/>
  <c r="L951" i="1" s="1"/>
  <c r="H952" i="1"/>
  <c r="L952" i="1" s="1"/>
  <c r="M952" i="1" s="1"/>
  <c r="H953" i="1"/>
  <c r="H954" i="1"/>
  <c r="L954" i="1" s="1"/>
  <c r="H955" i="1"/>
  <c r="H956" i="1"/>
  <c r="H957" i="1"/>
  <c r="H958" i="1"/>
  <c r="H959" i="1"/>
  <c r="L959" i="1" s="1"/>
  <c r="H960" i="1"/>
  <c r="L960" i="1" s="1"/>
  <c r="H961" i="1"/>
  <c r="H962" i="1"/>
  <c r="L962" i="1" s="1"/>
  <c r="H963" i="1"/>
  <c r="L963" i="1" s="1"/>
  <c r="H964" i="1"/>
  <c r="L964" i="1" s="1"/>
  <c r="H965" i="1"/>
  <c r="L965" i="1" s="1"/>
  <c r="H966" i="1"/>
  <c r="H967" i="1"/>
  <c r="L967" i="1" s="1"/>
  <c r="H968" i="1"/>
  <c r="L968" i="1" s="1"/>
  <c r="M968" i="1" s="1"/>
  <c r="H969" i="1"/>
  <c r="H970" i="1"/>
  <c r="L970" i="1" s="1"/>
  <c r="H971" i="1"/>
  <c r="H972" i="1"/>
  <c r="H973" i="1"/>
  <c r="L973" i="1" s="1"/>
  <c r="H974" i="1"/>
  <c r="L974" i="1" s="1"/>
  <c r="H975" i="1"/>
  <c r="L975" i="1" s="1"/>
  <c r="H976" i="1"/>
  <c r="L976" i="1" s="1"/>
  <c r="H977" i="1"/>
  <c r="H978" i="1"/>
  <c r="L978" i="1" s="1"/>
  <c r="H979" i="1"/>
  <c r="H980" i="1"/>
  <c r="H981" i="1"/>
  <c r="H982" i="1"/>
  <c r="L982" i="1" s="1"/>
  <c r="H983" i="1"/>
  <c r="L983" i="1" s="1"/>
  <c r="H984" i="1"/>
  <c r="L984" i="1" s="1"/>
  <c r="H985" i="1"/>
  <c r="H986" i="1"/>
  <c r="L986" i="1" s="1"/>
  <c r="H987" i="1"/>
  <c r="L987" i="1" s="1"/>
  <c r="H988" i="1"/>
  <c r="L988" i="1" s="1"/>
  <c r="H989" i="1"/>
  <c r="L989" i="1" s="1"/>
  <c r="H990" i="1"/>
  <c r="H991" i="1"/>
  <c r="L991" i="1" s="1"/>
  <c r="M991" i="1" s="1"/>
  <c r="H992" i="1"/>
  <c r="L992" i="1" s="1"/>
  <c r="H993" i="1"/>
  <c r="H994" i="1"/>
  <c r="L994" i="1" s="1"/>
  <c r="H995" i="1"/>
  <c r="H996" i="1"/>
  <c r="H997" i="1"/>
  <c r="L997" i="1" s="1"/>
  <c r="H998" i="1"/>
  <c r="L998" i="1" s="1"/>
  <c r="H999" i="1"/>
  <c r="L999" i="1" s="1"/>
  <c r="H1000" i="1"/>
  <c r="L1000" i="1" s="1"/>
  <c r="H1001" i="1"/>
  <c r="H1002" i="1"/>
  <c r="L1002" i="1" s="1"/>
  <c r="H1003" i="1"/>
  <c r="H1004" i="1"/>
  <c r="H1005" i="1"/>
  <c r="H1006" i="1"/>
  <c r="L2" i="1"/>
  <c r="M295" i="1"/>
  <c r="M359" i="1"/>
  <c r="M423" i="1"/>
  <c r="M479" i="1"/>
  <c r="M487" i="1"/>
  <c r="L3" i="1"/>
  <c r="L5" i="1"/>
  <c r="M5" i="1" s="1"/>
  <c r="L6" i="1"/>
  <c r="M6" i="1" s="1"/>
  <c r="L7" i="1"/>
  <c r="M7" i="1" s="1"/>
  <c r="L9" i="1"/>
  <c r="L11" i="1"/>
  <c r="L13" i="1"/>
  <c r="M13" i="1" s="1"/>
  <c r="L14" i="1"/>
  <c r="L15" i="1"/>
  <c r="L17" i="1"/>
  <c r="L21" i="1"/>
  <c r="M21" i="1" s="1"/>
  <c r="L22" i="1"/>
  <c r="M22" i="1" s="1"/>
  <c r="L23" i="1"/>
  <c r="M23" i="1" s="1"/>
  <c r="L25" i="1"/>
  <c r="L27" i="1"/>
  <c r="M27" i="1" s="1"/>
  <c r="L29" i="1"/>
  <c r="M29" i="1" s="1"/>
  <c r="L30" i="1"/>
  <c r="L31" i="1"/>
  <c r="L32" i="1"/>
  <c r="L33" i="1"/>
  <c r="L35" i="1"/>
  <c r="L37" i="1"/>
  <c r="M37" i="1" s="1"/>
  <c r="L38" i="1"/>
  <c r="M38" i="1" s="1"/>
  <c r="L39" i="1"/>
  <c r="M39" i="1" s="1"/>
  <c r="L41" i="1"/>
  <c r="M41" i="1" s="1"/>
  <c r="L43" i="1"/>
  <c r="L45" i="1"/>
  <c r="M45" i="1" s="1"/>
  <c r="L46" i="1"/>
  <c r="L47" i="1"/>
  <c r="L49" i="1"/>
  <c r="L51" i="1"/>
  <c r="L53" i="1"/>
  <c r="M53" i="1" s="1"/>
  <c r="L54" i="1"/>
  <c r="M54" i="1" s="1"/>
  <c r="L55" i="1"/>
  <c r="M55" i="1" s="1"/>
  <c r="L57" i="1"/>
  <c r="L59" i="1"/>
  <c r="L60" i="1"/>
  <c r="M60" i="1" s="1"/>
  <c r="L61" i="1"/>
  <c r="M61" i="1" s="1"/>
  <c r="L62" i="1"/>
  <c r="L63" i="1"/>
  <c r="L64" i="1"/>
  <c r="L65" i="1"/>
  <c r="L67" i="1"/>
  <c r="L69" i="1"/>
  <c r="M69" i="1" s="1"/>
  <c r="L70" i="1"/>
  <c r="M70" i="1" s="1"/>
  <c r="L71" i="1"/>
  <c r="M71" i="1" s="1"/>
  <c r="L73" i="1"/>
  <c r="L75" i="1"/>
  <c r="L77" i="1"/>
  <c r="M77" i="1" s="1"/>
  <c r="L78" i="1"/>
  <c r="M78" i="1" s="1"/>
  <c r="L79" i="1"/>
  <c r="L81" i="1"/>
  <c r="L83" i="1"/>
  <c r="L85" i="1"/>
  <c r="M85" i="1" s="1"/>
  <c r="L86" i="1"/>
  <c r="M86" i="1" s="1"/>
  <c r="L87" i="1"/>
  <c r="M87" i="1" s="1"/>
  <c r="L89" i="1"/>
  <c r="L91" i="1"/>
  <c r="M91" i="1" s="1"/>
  <c r="L93" i="1"/>
  <c r="M93" i="1" s="1"/>
  <c r="L94" i="1"/>
  <c r="L95" i="1"/>
  <c r="L96" i="1"/>
  <c r="L97" i="1"/>
  <c r="L99" i="1"/>
  <c r="L101" i="1"/>
  <c r="M101" i="1" s="1"/>
  <c r="L102" i="1"/>
  <c r="M102" i="1" s="1"/>
  <c r="L103" i="1"/>
  <c r="M103" i="1" s="1"/>
  <c r="L105" i="1"/>
  <c r="M105" i="1" s="1"/>
  <c r="L107" i="1"/>
  <c r="L109" i="1"/>
  <c r="M109" i="1" s="1"/>
  <c r="L110" i="1"/>
  <c r="L111" i="1"/>
  <c r="L113" i="1"/>
  <c r="L115" i="1"/>
  <c r="L117" i="1"/>
  <c r="M117" i="1" s="1"/>
  <c r="L118" i="1"/>
  <c r="M118" i="1" s="1"/>
  <c r="L119" i="1"/>
  <c r="M119" i="1" s="1"/>
  <c r="L121" i="1"/>
  <c r="L123" i="1"/>
  <c r="L125" i="1"/>
  <c r="M125" i="1" s="1"/>
  <c r="L126" i="1"/>
  <c r="L127" i="1"/>
  <c r="L128" i="1"/>
  <c r="L129" i="1"/>
  <c r="L131" i="1"/>
  <c r="L133" i="1"/>
  <c r="M133" i="1" s="1"/>
  <c r="L134" i="1"/>
  <c r="M134" i="1" s="1"/>
  <c r="L135" i="1"/>
  <c r="M135" i="1" s="1"/>
  <c r="L137" i="1"/>
  <c r="L139" i="1"/>
  <c r="L141" i="1"/>
  <c r="M141" i="1" s="1"/>
  <c r="L142" i="1"/>
  <c r="M142" i="1" s="1"/>
  <c r="L143" i="1"/>
  <c r="L145" i="1"/>
  <c r="L147" i="1"/>
  <c r="L149" i="1"/>
  <c r="M149" i="1" s="1"/>
  <c r="L150" i="1"/>
  <c r="M150" i="1" s="1"/>
  <c r="L151" i="1"/>
  <c r="M151" i="1" s="1"/>
  <c r="L153" i="1"/>
  <c r="L155" i="1"/>
  <c r="M155" i="1" s="1"/>
  <c r="L157" i="1"/>
  <c r="M157" i="1" s="1"/>
  <c r="L158" i="1"/>
  <c r="L159" i="1"/>
  <c r="L160" i="1"/>
  <c r="L161" i="1"/>
  <c r="L163" i="1"/>
  <c r="L165" i="1"/>
  <c r="M165" i="1" s="1"/>
  <c r="L166" i="1"/>
  <c r="M166" i="1" s="1"/>
  <c r="L167" i="1"/>
  <c r="M167" i="1" s="1"/>
  <c r="L169" i="1"/>
  <c r="L171" i="1"/>
  <c r="L173" i="1"/>
  <c r="M173" i="1" s="1"/>
  <c r="L174" i="1"/>
  <c r="L175" i="1"/>
  <c r="L177" i="1"/>
  <c r="L179" i="1"/>
  <c r="L181" i="1"/>
  <c r="M181" i="1" s="1"/>
  <c r="L182" i="1"/>
  <c r="M182" i="1" s="1"/>
  <c r="L183" i="1"/>
  <c r="M183" i="1" s="1"/>
  <c r="L185" i="1"/>
  <c r="L187" i="1"/>
  <c r="L189" i="1"/>
  <c r="M189" i="1" s="1"/>
  <c r="L190" i="1"/>
  <c r="L191" i="1"/>
  <c r="L192" i="1"/>
  <c r="L193" i="1"/>
  <c r="L195" i="1"/>
  <c r="L197" i="1"/>
  <c r="M197" i="1" s="1"/>
  <c r="L199" i="1"/>
  <c r="M199" i="1" s="1"/>
  <c r="L201" i="1"/>
  <c r="L203" i="1"/>
  <c r="L205" i="1"/>
  <c r="M205" i="1" s="1"/>
  <c r="L206" i="1"/>
  <c r="L207" i="1"/>
  <c r="L209" i="1"/>
  <c r="L211" i="1"/>
  <c r="L213" i="1"/>
  <c r="M213" i="1" s="1"/>
  <c r="L214" i="1"/>
  <c r="M214" i="1" s="1"/>
  <c r="L215" i="1"/>
  <c r="M215" i="1" s="1"/>
  <c r="L217" i="1"/>
  <c r="L219" i="1"/>
  <c r="L221" i="1"/>
  <c r="M221" i="1" s="1"/>
  <c r="L222" i="1"/>
  <c r="L224" i="1"/>
  <c r="L225" i="1"/>
  <c r="L227" i="1"/>
  <c r="L229" i="1"/>
  <c r="M229" i="1" s="1"/>
  <c r="L230" i="1"/>
  <c r="M230" i="1" s="1"/>
  <c r="L231" i="1"/>
  <c r="M231" i="1" s="1"/>
  <c r="L232" i="1"/>
  <c r="L233" i="1"/>
  <c r="L235" i="1"/>
  <c r="L237" i="1"/>
  <c r="M237" i="1" s="1"/>
  <c r="L238" i="1"/>
  <c r="L239" i="1"/>
  <c r="L240" i="1"/>
  <c r="L241" i="1"/>
  <c r="L243" i="1"/>
  <c r="L246" i="1"/>
  <c r="M246" i="1" s="1"/>
  <c r="L247" i="1"/>
  <c r="M247" i="1" s="1"/>
  <c r="L249" i="1"/>
  <c r="L251" i="1"/>
  <c r="L253" i="1"/>
  <c r="M253" i="1" s="1"/>
  <c r="L254" i="1"/>
  <c r="L255" i="1"/>
  <c r="L257" i="1"/>
  <c r="L259" i="1"/>
  <c r="L260" i="1"/>
  <c r="L261" i="1"/>
  <c r="L262" i="1"/>
  <c r="M262" i="1" s="1"/>
  <c r="L265" i="1"/>
  <c r="L268" i="1"/>
  <c r="L269" i="1"/>
  <c r="L270" i="1"/>
  <c r="M270" i="1" s="1"/>
  <c r="L273" i="1"/>
  <c r="L275" i="1"/>
  <c r="M275" i="1" s="1"/>
  <c r="L276" i="1"/>
  <c r="L277" i="1"/>
  <c r="L281" i="1"/>
  <c r="L283" i="1"/>
  <c r="L284" i="1"/>
  <c r="L285" i="1"/>
  <c r="L286" i="1"/>
  <c r="M286" i="1" s="1"/>
  <c r="L289" i="1"/>
  <c r="L291" i="1"/>
  <c r="L293" i="1"/>
  <c r="L294" i="1"/>
  <c r="L297" i="1"/>
  <c r="L299" i="1"/>
  <c r="M299" i="1" s="1"/>
  <c r="L300" i="1"/>
  <c r="L301" i="1"/>
  <c r="L302" i="1"/>
  <c r="L305" i="1"/>
  <c r="L307" i="1"/>
  <c r="L308" i="1"/>
  <c r="L309" i="1"/>
  <c r="L310" i="1"/>
  <c r="L313" i="1"/>
  <c r="L315" i="1"/>
  <c r="M315" i="1" s="1"/>
  <c r="L316" i="1"/>
  <c r="L318" i="1"/>
  <c r="L321" i="1"/>
  <c r="L323" i="1"/>
  <c r="L324" i="1"/>
  <c r="L325" i="1"/>
  <c r="L326" i="1"/>
  <c r="M326" i="1" s="1"/>
  <c r="L329" i="1"/>
  <c r="L331" i="1"/>
  <c r="L332" i="1"/>
  <c r="L333" i="1"/>
  <c r="L334" i="1"/>
  <c r="M334" i="1" s="1"/>
  <c r="L336" i="1"/>
  <c r="L337" i="1"/>
  <c r="L340" i="1"/>
  <c r="L341" i="1"/>
  <c r="L342" i="1"/>
  <c r="L345" i="1"/>
  <c r="L347" i="1"/>
  <c r="L348" i="1"/>
  <c r="L353" i="1"/>
  <c r="L355" i="1"/>
  <c r="L356" i="1"/>
  <c r="L357" i="1"/>
  <c r="L358" i="1"/>
  <c r="L361" i="1"/>
  <c r="L365" i="1"/>
  <c r="L366" i="1"/>
  <c r="L369" i="1"/>
  <c r="L370" i="1"/>
  <c r="L371" i="1"/>
  <c r="L372" i="1"/>
  <c r="L376" i="1"/>
  <c r="L377" i="1"/>
  <c r="L378" i="1"/>
  <c r="M378" i="1" s="1"/>
  <c r="L379" i="1"/>
  <c r="L380" i="1"/>
  <c r="L381" i="1"/>
  <c r="L385" i="1"/>
  <c r="L387" i="1"/>
  <c r="L388" i="1"/>
  <c r="L389" i="1"/>
  <c r="L390" i="1"/>
  <c r="L393" i="1"/>
  <c r="L396" i="1"/>
  <c r="L397" i="1"/>
  <c r="L398" i="1"/>
  <c r="L401" i="1"/>
  <c r="L403" i="1"/>
  <c r="M403" i="1" s="1"/>
  <c r="L409" i="1"/>
  <c r="L411" i="1"/>
  <c r="L412" i="1"/>
  <c r="L413" i="1"/>
  <c r="L414" i="1"/>
  <c r="M414" i="1" s="1"/>
  <c r="L417" i="1"/>
  <c r="L421" i="1"/>
  <c r="L422" i="1"/>
  <c r="L425" i="1"/>
  <c r="L427" i="1"/>
  <c r="L428" i="1"/>
  <c r="L433" i="1"/>
  <c r="L435" i="1"/>
  <c r="L436" i="1"/>
  <c r="L437" i="1"/>
  <c r="L438" i="1"/>
  <c r="L441" i="1"/>
  <c r="L445" i="1"/>
  <c r="M445" i="1" s="1"/>
  <c r="L446" i="1"/>
  <c r="L449" i="1"/>
  <c r="L451" i="1"/>
  <c r="L452" i="1"/>
  <c r="L456" i="1"/>
  <c r="L457" i="1"/>
  <c r="L459" i="1"/>
  <c r="L460" i="1"/>
  <c r="L461" i="1"/>
  <c r="L462" i="1"/>
  <c r="L465" i="1"/>
  <c r="L469" i="1"/>
  <c r="L470" i="1"/>
  <c r="L473" i="1"/>
  <c r="L475" i="1"/>
  <c r="L476" i="1"/>
  <c r="L481" i="1"/>
  <c r="L483" i="1"/>
  <c r="L484" i="1"/>
  <c r="L485" i="1"/>
  <c r="L486" i="1"/>
  <c r="L488" i="1"/>
  <c r="L489" i="1"/>
  <c r="L493" i="1"/>
  <c r="M493" i="1" s="1"/>
  <c r="L494" i="1"/>
  <c r="L497" i="1"/>
  <c r="L499" i="1"/>
  <c r="L500" i="1"/>
  <c r="L505" i="1"/>
  <c r="L507" i="1"/>
  <c r="L508" i="1"/>
  <c r="L509" i="1"/>
  <c r="L510" i="1"/>
  <c r="L513" i="1"/>
  <c r="L517" i="1"/>
  <c r="L518" i="1"/>
  <c r="L521" i="1"/>
  <c r="M521" i="1" s="1"/>
  <c r="L522" i="1"/>
  <c r="L523" i="1"/>
  <c r="L528" i="1"/>
  <c r="L529" i="1"/>
  <c r="L531" i="1"/>
  <c r="L532" i="1"/>
  <c r="L537" i="1"/>
  <c r="L539" i="1"/>
  <c r="L540" i="1"/>
  <c r="L542" i="1"/>
  <c r="L545" i="1"/>
  <c r="L550" i="1"/>
  <c r="L553" i="1"/>
  <c r="L555" i="1"/>
  <c r="L556" i="1"/>
  <c r="L557" i="1"/>
  <c r="L561" i="1"/>
  <c r="L563" i="1"/>
  <c r="L564" i="1"/>
  <c r="L566" i="1"/>
  <c r="L568" i="1"/>
  <c r="M568" i="1" s="1"/>
  <c r="L569" i="1"/>
  <c r="M569" i="1" s="1"/>
  <c r="L572" i="1"/>
  <c r="L574" i="1"/>
  <c r="L577" i="1"/>
  <c r="L582" i="1"/>
  <c r="L585" i="1"/>
  <c r="M585" i="1" s="1"/>
  <c r="L587" i="1"/>
  <c r="P587" i="1" s="1"/>
  <c r="Q587" i="1" s="1"/>
  <c r="L588" i="1"/>
  <c r="L593" i="1"/>
  <c r="L596" i="1"/>
  <c r="L598" i="1"/>
  <c r="L601" i="1"/>
  <c r="M601" i="1" s="1"/>
  <c r="L603" i="1"/>
  <c r="L609" i="1"/>
  <c r="L611" i="1"/>
  <c r="M611" i="1" s="1"/>
  <c r="L612" i="1"/>
  <c r="L614" i="1"/>
  <c r="L617" i="1"/>
  <c r="M617" i="1" s="1"/>
  <c r="L622" i="1"/>
  <c r="L625" i="1"/>
  <c r="L627" i="1"/>
  <c r="L628" i="1"/>
  <c r="L633" i="1"/>
  <c r="M633" i="1" s="1"/>
  <c r="L635" i="1"/>
  <c r="L636" i="1"/>
  <c r="L638" i="1"/>
  <c r="M638" i="1" s="1"/>
  <c r="L641" i="1"/>
  <c r="L646" i="1"/>
  <c r="L649" i="1"/>
  <c r="M649" i="1" s="1"/>
  <c r="L651" i="1"/>
  <c r="L652" i="1"/>
  <c r="L653" i="1"/>
  <c r="L657" i="1"/>
  <c r="L659" i="1"/>
  <c r="L660" i="1"/>
  <c r="L662" i="1"/>
  <c r="L665" i="1"/>
  <c r="M665" i="1" s="1"/>
  <c r="L670" i="1"/>
  <c r="L673" i="1"/>
  <c r="L675" i="1"/>
  <c r="L676" i="1"/>
  <c r="L677" i="1"/>
  <c r="L681" i="1"/>
  <c r="M681" i="1" s="1"/>
  <c r="L683" i="1"/>
  <c r="L684" i="1"/>
  <c r="L686" i="1"/>
  <c r="L689" i="1"/>
  <c r="L694" i="1"/>
  <c r="L697" i="1"/>
  <c r="M697" i="1" s="1"/>
  <c r="L699" i="1"/>
  <c r="L700" i="1"/>
  <c r="L705" i="1"/>
  <c r="L707" i="1"/>
  <c r="L708" i="1"/>
  <c r="L710" i="1"/>
  <c r="L713" i="1"/>
  <c r="M713" i="1" s="1"/>
  <c r="L717" i="1"/>
  <c r="L721" i="1"/>
  <c r="L723" i="1"/>
  <c r="L724" i="1"/>
  <c r="L729" i="1"/>
  <c r="M729" i="1" s="1"/>
  <c r="L731" i="1"/>
  <c r="L732" i="1"/>
  <c r="L733" i="1"/>
  <c r="L737" i="1"/>
  <c r="L742" i="1"/>
  <c r="L745" i="1"/>
  <c r="M745" i="1" s="1"/>
  <c r="L747" i="1"/>
  <c r="L748" i="1"/>
  <c r="L753" i="1"/>
  <c r="L756" i="1"/>
  <c r="L758" i="1"/>
  <c r="L761" i="1"/>
  <c r="M761" i="1" s="1"/>
  <c r="L763" i="1"/>
  <c r="L769" i="1"/>
  <c r="L771" i="1"/>
  <c r="L772" i="1"/>
  <c r="L777" i="1"/>
  <c r="M777" i="1" s="1"/>
  <c r="L781" i="1"/>
  <c r="L782" i="1"/>
  <c r="L785" i="1"/>
  <c r="L787" i="1"/>
  <c r="L795" i="1"/>
  <c r="L796" i="1"/>
  <c r="L797" i="1"/>
  <c r="L798" i="1"/>
  <c r="L801" i="1"/>
  <c r="L806" i="1"/>
  <c r="L809" i="1"/>
  <c r="M809" i="1" s="1"/>
  <c r="L810" i="1"/>
  <c r="L811" i="1"/>
  <c r="L812" i="1"/>
  <c r="L817" i="1"/>
  <c r="L818" i="1"/>
  <c r="L819" i="1"/>
  <c r="L820" i="1"/>
  <c r="L822" i="1"/>
  <c r="L835" i="1"/>
  <c r="L836" i="1"/>
  <c r="L837" i="1"/>
  <c r="L838" i="1"/>
  <c r="L841" i="1"/>
  <c r="M841" i="1" s="1"/>
  <c r="L846" i="1"/>
  <c r="L849" i="1"/>
  <c r="L851" i="1"/>
  <c r="M851" i="1" s="1"/>
  <c r="L852" i="1"/>
  <c r="L857" i="1"/>
  <c r="M857" i="1" s="1"/>
  <c r="L859" i="1"/>
  <c r="L860" i="1"/>
  <c r="L862" i="1"/>
  <c r="L864" i="1"/>
  <c r="L865" i="1"/>
  <c r="L869" i="1"/>
  <c r="L870" i="1"/>
  <c r="L873" i="1"/>
  <c r="M873" i="1" s="1"/>
  <c r="L874" i="1"/>
  <c r="L875" i="1"/>
  <c r="L881" i="1"/>
  <c r="L883" i="1"/>
  <c r="L884" i="1"/>
  <c r="L885" i="1"/>
  <c r="L886" i="1"/>
  <c r="L889" i="1"/>
  <c r="M889" i="1" s="1"/>
  <c r="L893" i="1"/>
  <c r="L897" i="1"/>
  <c r="L899" i="1"/>
  <c r="L900" i="1"/>
  <c r="L905" i="1"/>
  <c r="M905" i="1" s="1"/>
  <c r="L906" i="1"/>
  <c r="L907" i="1"/>
  <c r="L908" i="1"/>
  <c r="L910" i="1"/>
  <c r="L913" i="1"/>
  <c r="L918" i="1"/>
  <c r="L921" i="1"/>
  <c r="M921" i="1" s="1"/>
  <c r="L923" i="1"/>
  <c r="L924" i="1"/>
  <c r="L929" i="1"/>
  <c r="L931" i="1"/>
  <c r="L932" i="1"/>
  <c r="L934" i="1"/>
  <c r="L937" i="1"/>
  <c r="M937" i="1" s="1"/>
  <c r="L941" i="1"/>
  <c r="L942" i="1"/>
  <c r="L945" i="1"/>
  <c r="L947" i="1"/>
  <c r="L948" i="1"/>
  <c r="L953" i="1"/>
  <c r="M953" i="1" s="1"/>
  <c r="L955" i="1"/>
  <c r="L956" i="1"/>
  <c r="L957" i="1"/>
  <c r="L958" i="1"/>
  <c r="L961" i="1"/>
  <c r="L966" i="1"/>
  <c r="L969" i="1"/>
  <c r="M969" i="1" s="1"/>
  <c r="L971" i="1"/>
  <c r="L972" i="1"/>
  <c r="L977" i="1"/>
  <c r="M977" i="1" s="1"/>
  <c r="L979" i="1"/>
  <c r="L980" i="1"/>
  <c r="L981" i="1"/>
  <c r="L985" i="1"/>
  <c r="L990" i="1"/>
  <c r="L993" i="1"/>
  <c r="L995" i="1"/>
  <c r="M995" i="1" s="1"/>
  <c r="L996" i="1"/>
  <c r="L1001" i="1"/>
  <c r="L1003" i="1"/>
  <c r="L1004" i="1"/>
  <c r="L1005" i="1"/>
  <c r="L1006" i="1"/>
  <c r="J3" i="1"/>
  <c r="N3" i="1" s="1"/>
  <c r="J5" i="1"/>
  <c r="N5" i="1" s="1"/>
  <c r="J6" i="1"/>
  <c r="N6" i="1" s="1"/>
  <c r="J7" i="1"/>
  <c r="N7" i="1" s="1"/>
  <c r="J8" i="1"/>
  <c r="N8" i="1" s="1"/>
  <c r="J9" i="1"/>
  <c r="N9" i="1" s="1"/>
  <c r="J11" i="1"/>
  <c r="N11" i="1" s="1"/>
  <c r="J13" i="1"/>
  <c r="N13" i="1" s="1"/>
  <c r="J14" i="1"/>
  <c r="N14" i="1" s="1"/>
  <c r="J15" i="1"/>
  <c r="N15" i="1" s="1"/>
  <c r="J16" i="1"/>
  <c r="N16" i="1" s="1"/>
  <c r="J17" i="1"/>
  <c r="N17" i="1" s="1"/>
  <c r="J19" i="1"/>
  <c r="N19" i="1" s="1"/>
  <c r="J21" i="1"/>
  <c r="N21" i="1" s="1"/>
  <c r="J22" i="1"/>
  <c r="N22" i="1" s="1"/>
  <c r="J23" i="1"/>
  <c r="N23" i="1" s="1"/>
  <c r="J24" i="1"/>
  <c r="N24" i="1" s="1"/>
  <c r="J25" i="1"/>
  <c r="N25" i="1" s="1"/>
  <c r="J27" i="1"/>
  <c r="N27" i="1" s="1"/>
  <c r="J29" i="1"/>
  <c r="N29" i="1" s="1"/>
  <c r="J30" i="1"/>
  <c r="N30" i="1" s="1"/>
  <c r="J31" i="1"/>
  <c r="N31" i="1" s="1"/>
  <c r="J32" i="1"/>
  <c r="N32" i="1" s="1"/>
  <c r="J33" i="1"/>
  <c r="N33" i="1" s="1"/>
  <c r="J35" i="1"/>
  <c r="N35" i="1" s="1"/>
  <c r="J37" i="1"/>
  <c r="N37" i="1" s="1"/>
  <c r="J38" i="1"/>
  <c r="N38" i="1" s="1"/>
  <c r="J39" i="1"/>
  <c r="N39" i="1" s="1"/>
  <c r="J40" i="1"/>
  <c r="N40" i="1" s="1"/>
  <c r="J41" i="1"/>
  <c r="N41" i="1" s="1"/>
  <c r="J43" i="1"/>
  <c r="N43" i="1" s="1"/>
  <c r="J45" i="1"/>
  <c r="N45" i="1" s="1"/>
  <c r="J46" i="1"/>
  <c r="N46" i="1" s="1"/>
  <c r="J47" i="1"/>
  <c r="N47" i="1" s="1"/>
  <c r="J48" i="1"/>
  <c r="N48" i="1" s="1"/>
  <c r="J49" i="1"/>
  <c r="N49" i="1" s="1"/>
  <c r="J51" i="1"/>
  <c r="N51" i="1" s="1"/>
  <c r="J53" i="1"/>
  <c r="N53" i="1" s="1"/>
  <c r="J54" i="1"/>
  <c r="N54" i="1" s="1"/>
  <c r="J55" i="1"/>
  <c r="N55" i="1" s="1"/>
  <c r="J56" i="1"/>
  <c r="N56" i="1" s="1"/>
  <c r="J57" i="1"/>
  <c r="N57" i="1" s="1"/>
  <c r="J59" i="1"/>
  <c r="N59" i="1" s="1"/>
  <c r="J61" i="1"/>
  <c r="N61" i="1" s="1"/>
  <c r="J62" i="1"/>
  <c r="N62" i="1" s="1"/>
  <c r="J63" i="1"/>
  <c r="N63" i="1" s="1"/>
  <c r="J64" i="1"/>
  <c r="N64" i="1" s="1"/>
  <c r="J65" i="1"/>
  <c r="N65" i="1" s="1"/>
  <c r="J67" i="1"/>
  <c r="N67" i="1" s="1"/>
  <c r="J69" i="1"/>
  <c r="N69" i="1" s="1"/>
  <c r="J70" i="1"/>
  <c r="N70" i="1" s="1"/>
  <c r="J71" i="1"/>
  <c r="N71" i="1" s="1"/>
  <c r="J72" i="1"/>
  <c r="N72" i="1" s="1"/>
  <c r="J73" i="1"/>
  <c r="N73" i="1" s="1"/>
  <c r="J75" i="1"/>
  <c r="N75" i="1" s="1"/>
  <c r="J77" i="1"/>
  <c r="N77" i="1" s="1"/>
  <c r="J78" i="1"/>
  <c r="N78" i="1" s="1"/>
  <c r="J79" i="1"/>
  <c r="N79" i="1" s="1"/>
  <c r="J80" i="1"/>
  <c r="N80" i="1" s="1"/>
  <c r="J81" i="1"/>
  <c r="N81" i="1" s="1"/>
  <c r="J83" i="1"/>
  <c r="N83" i="1" s="1"/>
  <c r="J85" i="1"/>
  <c r="N85" i="1" s="1"/>
  <c r="J86" i="1"/>
  <c r="N86" i="1" s="1"/>
  <c r="J87" i="1"/>
  <c r="N87" i="1" s="1"/>
  <c r="J88" i="1"/>
  <c r="N88" i="1" s="1"/>
  <c r="J89" i="1"/>
  <c r="N89" i="1" s="1"/>
  <c r="J91" i="1"/>
  <c r="N91" i="1" s="1"/>
  <c r="J92" i="1"/>
  <c r="N92" i="1" s="1"/>
  <c r="J93" i="1"/>
  <c r="N93" i="1" s="1"/>
  <c r="J94" i="1"/>
  <c r="N94" i="1" s="1"/>
  <c r="J95" i="1"/>
  <c r="N95" i="1" s="1"/>
  <c r="J96" i="1"/>
  <c r="N96" i="1" s="1"/>
  <c r="J97" i="1"/>
  <c r="N97" i="1" s="1"/>
  <c r="J99" i="1"/>
  <c r="N99" i="1" s="1"/>
  <c r="J101" i="1"/>
  <c r="N101" i="1" s="1"/>
  <c r="J102" i="1"/>
  <c r="N102" i="1" s="1"/>
  <c r="J103" i="1"/>
  <c r="N103" i="1" s="1"/>
  <c r="J104" i="1"/>
  <c r="N104" i="1" s="1"/>
  <c r="J105" i="1"/>
  <c r="N105" i="1" s="1"/>
  <c r="J107" i="1"/>
  <c r="N107" i="1" s="1"/>
  <c r="J109" i="1"/>
  <c r="N109" i="1" s="1"/>
  <c r="J110" i="1"/>
  <c r="N110" i="1" s="1"/>
  <c r="J111" i="1"/>
  <c r="N111" i="1" s="1"/>
  <c r="J112" i="1"/>
  <c r="N112" i="1" s="1"/>
  <c r="J113" i="1"/>
  <c r="N113" i="1" s="1"/>
  <c r="J115" i="1"/>
  <c r="N115" i="1" s="1"/>
  <c r="J117" i="1"/>
  <c r="N117" i="1" s="1"/>
  <c r="J118" i="1"/>
  <c r="N118" i="1" s="1"/>
  <c r="J119" i="1"/>
  <c r="N119" i="1" s="1"/>
  <c r="J120" i="1"/>
  <c r="N120" i="1" s="1"/>
  <c r="J121" i="1"/>
  <c r="N121" i="1" s="1"/>
  <c r="J123" i="1"/>
  <c r="N123" i="1" s="1"/>
  <c r="J125" i="1"/>
  <c r="N125" i="1" s="1"/>
  <c r="J126" i="1"/>
  <c r="N126" i="1" s="1"/>
  <c r="J127" i="1"/>
  <c r="N127" i="1" s="1"/>
  <c r="J128" i="1"/>
  <c r="N128" i="1" s="1"/>
  <c r="J129" i="1"/>
  <c r="N129" i="1" s="1"/>
  <c r="J131" i="1"/>
  <c r="N131" i="1" s="1"/>
  <c r="J133" i="1"/>
  <c r="N133" i="1" s="1"/>
  <c r="J134" i="1"/>
  <c r="N134" i="1" s="1"/>
  <c r="J135" i="1"/>
  <c r="N135" i="1" s="1"/>
  <c r="J136" i="1"/>
  <c r="N136" i="1" s="1"/>
  <c r="J137" i="1"/>
  <c r="N137" i="1" s="1"/>
  <c r="J139" i="1"/>
  <c r="N139" i="1" s="1"/>
  <c r="J141" i="1"/>
  <c r="N141" i="1" s="1"/>
  <c r="J142" i="1"/>
  <c r="N142" i="1" s="1"/>
  <c r="J143" i="1"/>
  <c r="N143" i="1" s="1"/>
  <c r="J144" i="1"/>
  <c r="N144" i="1" s="1"/>
  <c r="J145" i="1"/>
  <c r="N145" i="1" s="1"/>
  <c r="J147" i="1"/>
  <c r="N147" i="1" s="1"/>
  <c r="J149" i="1"/>
  <c r="N149" i="1" s="1"/>
  <c r="J150" i="1"/>
  <c r="N150" i="1" s="1"/>
  <c r="J151" i="1"/>
  <c r="N151" i="1" s="1"/>
  <c r="J152" i="1"/>
  <c r="N152" i="1" s="1"/>
  <c r="J153" i="1"/>
  <c r="N153" i="1" s="1"/>
  <c r="J155" i="1"/>
  <c r="N155" i="1" s="1"/>
  <c r="J157" i="1"/>
  <c r="N157" i="1" s="1"/>
  <c r="J158" i="1"/>
  <c r="N158" i="1" s="1"/>
  <c r="J159" i="1"/>
  <c r="N159" i="1" s="1"/>
  <c r="J160" i="1"/>
  <c r="N160" i="1" s="1"/>
  <c r="J161" i="1"/>
  <c r="N161" i="1" s="1"/>
  <c r="J163" i="1"/>
  <c r="N163" i="1" s="1"/>
  <c r="J165" i="1"/>
  <c r="N165" i="1" s="1"/>
  <c r="J166" i="1"/>
  <c r="N166" i="1" s="1"/>
  <c r="J167" i="1"/>
  <c r="N167" i="1" s="1"/>
  <c r="J168" i="1"/>
  <c r="N168" i="1" s="1"/>
  <c r="J169" i="1"/>
  <c r="N169" i="1" s="1"/>
  <c r="J171" i="1"/>
  <c r="N171" i="1" s="1"/>
  <c r="J173" i="1"/>
  <c r="N173" i="1" s="1"/>
  <c r="J174" i="1"/>
  <c r="N174" i="1" s="1"/>
  <c r="J175" i="1"/>
  <c r="N175" i="1" s="1"/>
  <c r="J176" i="1"/>
  <c r="N176" i="1" s="1"/>
  <c r="J177" i="1"/>
  <c r="N177" i="1" s="1"/>
  <c r="J179" i="1"/>
  <c r="N179" i="1" s="1"/>
  <c r="J181" i="1"/>
  <c r="N181" i="1" s="1"/>
  <c r="J182" i="1"/>
  <c r="N182" i="1" s="1"/>
  <c r="J183" i="1"/>
  <c r="N183" i="1" s="1"/>
  <c r="J184" i="1"/>
  <c r="N184" i="1" s="1"/>
  <c r="J185" i="1"/>
  <c r="N185" i="1" s="1"/>
  <c r="J187" i="1"/>
  <c r="N187" i="1" s="1"/>
  <c r="J189" i="1"/>
  <c r="N189" i="1" s="1"/>
  <c r="J190" i="1"/>
  <c r="N190" i="1" s="1"/>
  <c r="J191" i="1"/>
  <c r="N191" i="1" s="1"/>
  <c r="J192" i="1"/>
  <c r="N192" i="1" s="1"/>
  <c r="J193" i="1"/>
  <c r="N193" i="1" s="1"/>
  <c r="J195" i="1"/>
  <c r="N195" i="1" s="1"/>
  <c r="J197" i="1"/>
  <c r="N197" i="1" s="1"/>
  <c r="J198" i="1"/>
  <c r="N198" i="1" s="1"/>
  <c r="J199" i="1"/>
  <c r="N199" i="1" s="1"/>
  <c r="J200" i="1"/>
  <c r="N200" i="1" s="1"/>
  <c r="J201" i="1"/>
  <c r="N201" i="1" s="1"/>
  <c r="J203" i="1"/>
  <c r="N203" i="1" s="1"/>
  <c r="J205" i="1"/>
  <c r="N205" i="1" s="1"/>
  <c r="J206" i="1"/>
  <c r="N206" i="1" s="1"/>
  <c r="J207" i="1"/>
  <c r="N207" i="1" s="1"/>
  <c r="J208" i="1"/>
  <c r="N208" i="1" s="1"/>
  <c r="J209" i="1"/>
  <c r="N209" i="1" s="1"/>
  <c r="J211" i="1"/>
  <c r="N211" i="1" s="1"/>
  <c r="J213" i="1"/>
  <c r="N213" i="1" s="1"/>
  <c r="J214" i="1"/>
  <c r="N214" i="1" s="1"/>
  <c r="J215" i="1"/>
  <c r="N215" i="1" s="1"/>
  <c r="J216" i="1"/>
  <c r="N216" i="1" s="1"/>
  <c r="J217" i="1"/>
  <c r="N217" i="1" s="1"/>
  <c r="J219" i="1"/>
  <c r="N219" i="1" s="1"/>
  <c r="J221" i="1"/>
  <c r="N221" i="1" s="1"/>
  <c r="J222" i="1"/>
  <c r="N222" i="1" s="1"/>
  <c r="J223" i="1"/>
  <c r="N223" i="1" s="1"/>
  <c r="J224" i="1"/>
  <c r="N224" i="1" s="1"/>
  <c r="J225" i="1"/>
  <c r="N225" i="1" s="1"/>
  <c r="J227" i="1"/>
  <c r="N227" i="1" s="1"/>
  <c r="J229" i="1"/>
  <c r="N229" i="1" s="1"/>
  <c r="J230" i="1"/>
  <c r="N230" i="1" s="1"/>
  <c r="J231" i="1"/>
  <c r="N231" i="1" s="1"/>
  <c r="J232" i="1"/>
  <c r="N232" i="1" s="1"/>
  <c r="J233" i="1"/>
  <c r="N233" i="1" s="1"/>
  <c r="J235" i="1"/>
  <c r="N235" i="1" s="1"/>
  <c r="J237" i="1"/>
  <c r="N237" i="1" s="1"/>
  <c r="J238" i="1"/>
  <c r="N238" i="1" s="1"/>
  <c r="J239" i="1"/>
  <c r="N239" i="1" s="1"/>
  <c r="J240" i="1"/>
  <c r="N240" i="1" s="1"/>
  <c r="J241" i="1"/>
  <c r="N241" i="1" s="1"/>
  <c r="J243" i="1"/>
  <c r="N243" i="1" s="1"/>
  <c r="J245" i="1"/>
  <c r="N245" i="1" s="1"/>
  <c r="J246" i="1"/>
  <c r="N246" i="1" s="1"/>
  <c r="J247" i="1"/>
  <c r="N247" i="1" s="1"/>
  <c r="J248" i="1"/>
  <c r="N248" i="1" s="1"/>
  <c r="J249" i="1"/>
  <c r="N249" i="1" s="1"/>
  <c r="J251" i="1"/>
  <c r="N251" i="1" s="1"/>
  <c r="J253" i="1"/>
  <c r="N253" i="1" s="1"/>
  <c r="J254" i="1"/>
  <c r="N254" i="1" s="1"/>
  <c r="J255" i="1"/>
  <c r="N255" i="1" s="1"/>
  <c r="J256" i="1"/>
  <c r="N256" i="1" s="1"/>
  <c r="J257" i="1"/>
  <c r="N257" i="1" s="1"/>
  <c r="J259" i="1"/>
  <c r="N259" i="1" s="1"/>
  <c r="J260" i="1"/>
  <c r="N260" i="1" s="1"/>
  <c r="J261" i="1"/>
  <c r="N261" i="1" s="1"/>
  <c r="J262" i="1"/>
  <c r="N262" i="1" s="1"/>
  <c r="J263" i="1"/>
  <c r="N263" i="1" s="1"/>
  <c r="J265" i="1"/>
  <c r="N265" i="1" s="1"/>
  <c r="J267" i="1"/>
  <c r="N267" i="1" s="1"/>
  <c r="J268" i="1"/>
  <c r="N268" i="1" s="1"/>
  <c r="J269" i="1"/>
  <c r="N269" i="1" s="1"/>
  <c r="J270" i="1"/>
  <c r="N270" i="1" s="1"/>
  <c r="J271" i="1"/>
  <c r="N271" i="1" s="1"/>
  <c r="J272" i="1"/>
  <c r="N272" i="1" s="1"/>
  <c r="J273" i="1"/>
  <c r="N273" i="1" s="1"/>
  <c r="J275" i="1"/>
  <c r="N275" i="1" s="1"/>
  <c r="J276" i="1"/>
  <c r="N276" i="1" s="1"/>
  <c r="J277" i="1"/>
  <c r="N277" i="1" s="1"/>
  <c r="J278" i="1"/>
  <c r="N278" i="1" s="1"/>
  <c r="J279" i="1"/>
  <c r="N279" i="1" s="1"/>
  <c r="J281" i="1"/>
  <c r="N281" i="1" s="1"/>
  <c r="J283" i="1"/>
  <c r="N283" i="1" s="1"/>
  <c r="J284" i="1"/>
  <c r="N284" i="1" s="1"/>
  <c r="J285" i="1"/>
  <c r="N285" i="1" s="1"/>
  <c r="J286" i="1"/>
  <c r="N286" i="1" s="1"/>
  <c r="J287" i="1"/>
  <c r="N287" i="1" s="1"/>
  <c r="J289" i="1"/>
  <c r="N289" i="1" s="1"/>
  <c r="J291" i="1"/>
  <c r="N291" i="1" s="1"/>
  <c r="J292" i="1"/>
  <c r="N292" i="1" s="1"/>
  <c r="J293" i="1"/>
  <c r="N293" i="1" s="1"/>
  <c r="J294" i="1"/>
  <c r="N294" i="1" s="1"/>
  <c r="J295" i="1"/>
  <c r="N295" i="1" s="1"/>
  <c r="J297" i="1"/>
  <c r="N297" i="1" s="1"/>
  <c r="J299" i="1"/>
  <c r="N299" i="1" s="1"/>
  <c r="J300" i="1"/>
  <c r="N300" i="1" s="1"/>
  <c r="J301" i="1"/>
  <c r="N301" i="1" s="1"/>
  <c r="J302" i="1"/>
  <c r="N302" i="1" s="1"/>
  <c r="J303" i="1"/>
  <c r="N303" i="1" s="1"/>
  <c r="J305" i="1"/>
  <c r="N305" i="1" s="1"/>
  <c r="J307" i="1"/>
  <c r="N307" i="1" s="1"/>
  <c r="J308" i="1"/>
  <c r="N308" i="1" s="1"/>
  <c r="J309" i="1"/>
  <c r="N309" i="1" s="1"/>
  <c r="J310" i="1"/>
  <c r="N310" i="1" s="1"/>
  <c r="J311" i="1"/>
  <c r="N311" i="1" s="1"/>
  <c r="J313" i="1"/>
  <c r="N313" i="1" s="1"/>
  <c r="J315" i="1"/>
  <c r="N315" i="1" s="1"/>
  <c r="J316" i="1"/>
  <c r="N316" i="1" s="1"/>
  <c r="J317" i="1"/>
  <c r="N317" i="1" s="1"/>
  <c r="J318" i="1"/>
  <c r="N318" i="1" s="1"/>
  <c r="J319" i="1"/>
  <c r="N319" i="1" s="1"/>
  <c r="J321" i="1"/>
  <c r="N321" i="1" s="1"/>
  <c r="J323" i="1"/>
  <c r="N323" i="1" s="1"/>
  <c r="J324" i="1"/>
  <c r="N324" i="1" s="1"/>
  <c r="J325" i="1"/>
  <c r="N325" i="1" s="1"/>
  <c r="J326" i="1"/>
  <c r="N326" i="1" s="1"/>
  <c r="J327" i="1"/>
  <c r="N327" i="1" s="1"/>
  <c r="J329" i="1"/>
  <c r="N329" i="1" s="1"/>
  <c r="J331" i="1"/>
  <c r="N331" i="1" s="1"/>
  <c r="J332" i="1"/>
  <c r="N332" i="1" s="1"/>
  <c r="J333" i="1"/>
  <c r="N333" i="1" s="1"/>
  <c r="J334" i="1"/>
  <c r="N334" i="1" s="1"/>
  <c r="J335" i="1"/>
  <c r="N335" i="1" s="1"/>
  <c r="J336" i="1"/>
  <c r="N336" i="1" s="1"/>
  <c r="J337" i="1"/>
  <c r="N337" i="1" s="1"/>
  <c r="J339" i="1"/>
  <c r="N339" i="1" s="1"/>
  <c r="J340" i="1"/>
  <c r="N340" i="1" s="1"/>
  <c r="J341" i="1"/>
  <c r="N341" i="1" s="1"/>
  <c r="J342" i="1"/>
  <c r="N342" i="1" s="1"/>
  <c r="J343" i="1"/>
  <c r="N343" i="1" s="1"/>
  <c r="J345" i="1"/>
  <c r="N345" i="1" s="1"/>
  <c r="J347" i="1"/>
  <c r="N347" i="1" s="1"/>
  <c r="J348" i="1"/>
  <c r="N348" i="1" s="1"/>
  <c r="J349" i="1"/>
  <c r="N349" i="1" s="1"/>
  <c r="J350" i="1"/>
  <c r="N350" i="1" s="1"/>
  <c r="J351" i="1"/>
  <c r="N351" i="1" s="1"/>
  <c r="J353" i="1"/>
  <c r="N353" i="1" s="1"/>
  <c r="J355" i="1"/>
  <c r="N355" i="1" s="1"/>
  <c r="J356" i="1"/>
  <c r="N356" i="1" s="1"/>
  <c r="J357" i="1"/>
  <c r="N357" i="1" s="1"/>
  <c r="J358" i="1"/>
  <c r="N358" i="1" s="1"/>
  <c r="J359" i="1"/>
  <c r="N359" i="1" s="1"/>
  <c r="J361" i="1"/>
  <c r="N361" i="1" s="1"/>
  <c r="J363" i="1"/>
  <c r="N363" i="1" s="1"/>
  <c r="J364" i="1"/>
  <c r="N364" i="1" s="1"/>
  <c r="J365" i="1"/>
  <c r="N365" i="1" s="1"/>
  <c r="J366" i="1"/>
  <c r="N366" i="1" s="1"/>
  <c r="J367" i="1"/>
  <c r="N367" i="1" s="1"/>
  <c r="J369" i="1"/>
  <c r="N369" i="1" s="1"/>
  <c r="J371" i="1"/>
  <c r="N371" i="1" s="1"/>
  <c r="J372" i="1"/>
  <c r="N372" i="1" s="1"/>
  <c r="J373" i="1"/>
  <c r="N373" i="1" s="1"/>
  <c r="J374" i="1"/>
  <c r="N374" i="1" s="1"/>
  <c r="J375" i="1"/>
  <c r="N375" i="1" s="1"/>
  <c r="J377" i="1"/>
  <c r="N377" i="1" s="1"/>
  <c r="J379" i="1"/>
  <c r="N379" i="1" s="1"/>
  <c r="J380" i="1"/>
  <c r="N380" i="1" s="1"/>
  <c r="J381" i="1"/>
  <c r="N381" i="1" s="1"/>
  <c r="J382" i="1"/>
  <c r="N382" i="1" s="1"/>
  <c r="J383" i="1"/>
  <c r="N383" i="1" s="1"/>
  <c r="J385" i="1"/>
  <c r="N385" i="1" s="1"/>
  <c r="J387" i="1"/>
  <c r="N387" i="1" s="1"/>
  <c r="J388" i="1"/>
  <c r="N388" i="1" s="1"/>
  <c r="J389" i="1"/>
  <c r="N389" i="1" s="1"/>
  <c r="J390" i="1"/>
  <c r="N390" i="1" s="1"/>
  <c r="J391" i="1"/>
  <c r="N391" i="1" s="1"/>
  <c r="J393" i="1"/>
  <c r="N393" i="1" s="1"/>
  <c r="J395" i="1"/>
  <c r="N395" i="1" s="1"/>
  <c r="J396" i="1"/>
  <c r="N396" i="1" s="1"/>
  <c r="J397" i="1"/>
  <c r="N397" i="1" s="1"/>
  <c r="J398" i="1"/>
  <c r="N398" i="1" s="1"/>
  <c r="J399" i="1"/>
  <c r="N399" i="1" s="1"/>
  <c r="J400" i="1"/>
  <c r="N400" i="1" s="1"/>
  <c r="J401" i="1"/>
  <c r="N401" i="1" s="1"/>
  <c r="J403" i="1"/>
  <c r="N403" i="1" s="1"/>
  <c r="J404" i="1"/>
  <c r="N404" i="1" s="1"/>
  <c r="J405" i="1"/>
  <c r="N405" i="1" s="1"/>
  <c r="J406" i="1"/>
  <c r="N406" i="1" s="1"/>
  <c r="J407" i="1"/>
  <c r="N407" i="1" s="1"/>
  <c r="J409" i="1"/>
  <c r="N409" i="1" s="1"/>
  <c r="J411" i="1"/>
  <c r="N411" i="1" s="1"/>
  <c r="J412" i="1"/>
  <c r="N412" i="1" s="1"/>
  <c r="J413" i="1"/>
  <c r="N413" i="1" s="1"/>
  <c r="J414" i="1"/>
  <c r="N414" i="1" s="1"/>
  <c r="J415" i="1"/>
  <c r="N415" i="1" s="1"/>
  <c r="J417" i="1"/>
  <c r="N417" i="1" s="1"/>
  <c r="J419" i="1"/>
  <c r="N419" i="1" s="1"/>
  <c r="J420" i="1"/>
  <c r="N420" i="1" s="1"/>
  <c r="J421" i="1"/>
  <c r="N421" i="1" s="1"/>
  <c r="J422" i="1"/>
  <c r="N422" i="1" s="1"/>
  <c r="J423" i="1"/>
  <c r="N423" i="1" s="1"/>
  <c r="J425" i="1"/>
  <c r="N425" i="1" s="1"/>
  <c r="J427" i="1"/>
  <c r="N427" i="1" s="1"/>
  <c r="J428" i="1"/>
  <c r="N428" i="1" s="1"/>
  <c r="J429" i="1"/>
  <c r="N429" i="1" s="1"/>
  <c r="J430" i="1"/>
  <c r="N430" i="1" s="1"/>
  <c r="J431" i="1"/>
  <c r="N431" i="1" s="1"/>
  <c r="J433" i="1"/>
  <c r="N433" i="1" s="1"/>
  <c r="J436" i="1"/>
  <c r="N436" i="1" s="1"/>
  <c r="J437" i="1"/>
  <c r="N437" i="1" s="1"/>
  <c r="J438" i="1"/>
  <c r="N438" i="1" s="1"/>
  <c r="J439" i="1"/>
  <c r="N439" i="1" s="1"/>
  <c r="J441" i="1"/>
  <c r="N441" i="1" s="1"/>
  <c r="J443" i="1"/>
  <c r="N443" i="1" s="1"/>
  <c r="J444" i="1"/>
  <c r="N444" i="1" s="1"/>
  <c r="J446" i="1"/>
  <c r="N446" i="1" s="1"/>
  <c r="J447" i="1"/>
  <c r="N447" i="1" s="1"/>
  <c r="J449" i="1"/>
  <c r="N449" i="1" s="1"/>
  <c r="J451" i="1"/>
  <c r="N451" i="1" s="1"/>
  <c r="J452" i="1"/>
  <c r="N452" i="1" s="1"/>
  <c r="J453" i="1"/>
  <c r="N453" i="1" s="1"/>
  <c r="J454" i="1"/>
  <c r="N454" i="1" s="1"/>
  <c r="J455" i="1"/>
  <c r="N455" i="1" s="1"/>
  <c r="J457" i="1"/>
  <c r="N457" i="1" s="1"/>
  <c r="J459" i="1"/>
  <c r="N459" i="1" s="1"/>
  <c r="J460" i="1"/>
  <c r="N460" i="1" s="1"/>
  <c r="J461" i="1"/>
  <c r="N461" i="1" s="1"/>
  <c r="J462" i="1"/>
  <c r="N462" i="1" s="1"/>
  <c r="J463" i="1"/>
  <c r="N463" i="1" s="1"/>
  <c r="J464" i="1"/>
  <c r="N464" i="1" s="1"/>
  <c r="J465" i="1"/>
  <c r="N465" i="1" s="1"/>
  <c r="J467" i="1"/>
  <c r="N467" i="1" s="1"/>
  <c r="J468" i="1"/>
  <c r="N468" i="1" s="1"/>
  <c r="J469" i="1"/>
  <c r="N469" i="1" s="1"/>
  <c r="J470" i="1"/>
  <c r="N470" i="1" s="1"/>
  <c r="J471" i="1"/>
  <c r="N471" i="1" s="1"/>
  <c r="J473" i="1"/>
  <c r="N473" i="1" s="1"/>
  <c r="J475" i="1"/>
  <c r="N475" i="1" s="1"/>
  <c r="J477" i="1"/>
  <c r="N477" i="1" s="1"/>
  <c r="J478" i="1"/>
  <c r="N478" i="1" s="1"/>
  <c r="J479" i="1"/>
  <c r="N479" i="1" s="1"/>
  <c r="J481" i="1"/>
  <c r="N481" i="1" s="1"/>
  <c r="J483" i="1"/>
  <c r="N483" i="1" s="1"/>
  <c r="J484" i="1"/>
  <c r="N484" i="1" s="1"/>
  <c r="J485" i="1"/>
  <c r="N485" i="1" s="1"/>
  <c r="J487" i="1"/>
  <c r="N487" i="1" s="1"/>
  <c r="J489" i="1"/>
  <c r="N489" i="1" s="1"/>
  <c r="J491" i="1"/>
  <c r="N491" i="1" s="1"/>
  <c r="J492" i="1"/>
  <c r="N492" i="1" s="1"/>
  <c r="J493" i="1"/>
  <c r="N493" i="1" s="1"/>
  <c r="J494" i="1"/>
  <c r="N494" i="1" s="1"/>
  <c r="J495" i="1"/>
  <c r="N495" i="1" s="1"/>
  <c r="J497" i="1"/>
  <c r="N497" i="1" s="1"/>
  <c r="J499" i="1"/>
  <c r="N499" i="1" s="1"/>
  <c r="J500" i="1"/>
  <c r="N500" i="1" s="1"/>
  <c r="J501" i="1"/>
  <c r="N501" i="1" s="1"/>
  <c r="J502" i="1"/>
  <c r="N502" i="1" s="1"/>
  <c r="J503" i="1"/>
  <c r="N503" i="1" s="1"/>
  <c r="J505" i="1"/>
  <c r="N505" i="1" s="1"/>
  <c r="J507" i="1"/>
  <c r="N507" i="1" s="1"/>
  <c r="J509" i="1"/>
  <c r="N509" i="1" s="1"/>
  <c r="J510" i="1"/>
  <c r="N510" i="1" s="1"/>
  <c r="J511" i="1"/>
  <c r="N511" i="1" s="1"/>
  <c r="J513" i="1"/>
  <c r="N513" i="1" s="1"/>
  <c r="J515" i="1"/>
  <c r="N515" i="1" s="1"/>
  <c r="J516" i="1"/>
  <c r="N516" i="1" s="1"/>
  <c r="J517" i="1"/>
  <c r="N517" i="1" s="1"/>
  <c r="J519" i="1"/>
  <c r="N519" i="1" s="1"/>
  <c r="J521" i="1"/>
  <c r="N521" i="1" s="1"/>
  <c r="J523" i="1"/>
  <c r="N523" i="1" s="1"/>
  <c r="J524" i="1"/>
  <c r="N524" i="1" s="1"/>
  <c r="J525" i="1"/>
  <c r="N525" i="1" s="1"/>
  <c r="J526" i="1"/>
  <c r="N526" i="1" s="1"/>
  <c r="J527" i="1"/>
  <c r="N527" i="1" s="1"/>
  <c r="J528" i="1"/>
  <c r="N528" i="1" s="1"/>
  <c r="J529" i="1"/>
  <c r="N529" i="1" s="1"/>
  <c r="J531" i="1"/>
  <c r="N531" i="1" s="1"/>
  <c r="J532" i="1"/>
  <c r="N532" i="1" s="1"/>
  <c r="J533" i="1"/>
  <c r="N533" i="1" s="1"/>
  <c r="J534" i="1"/>
  <c r="N534" i="1" s="1"/>
  <c r="J535" i="1"/>
  <c r="N535" i="1" s="1"/>
  <c r="J537" i="1"/>
  <c r="N537" i="1" s="1"/>
  <c r="J540" i="1"/>
  <c r="N540" i="1" s="1"/>
  <c r="J542" i="1"/>
  <c r="N542" i="1" s="1"/>
  <c r="J543" i="1"/>
  <c r="N543" i="1" s="1"/>
  <c r="J545" i="1"/>
  <c r="N545" i="1" s="1"/>
  <c r="J547" i="1"/>
  <c r="N547" i="1" s="1"/>
  <c r="J548" i="1"/>
  <c r="N548" i="1" s="1"/>
  <c r="J550" i="1"/>
  <c r="N550" i="1" s="1"/>
  <c r="J551" i="1"/>
  <c r="N551" i="1" s="1"/>
  <c r="J553" i="1"/>
  <c r="N553" i="1" s="1"/>
  <c r="J555" i="1"/>
  <c r="N555" i="1" s="1"/>
  <c r="J556" i="1"/>
  <c r="N556" i="1" s="1"/>
  <c r="J557" i="1"/>
  <c r="N557" i="1" s="1"/>
  <c r="J558" i="1"/>
  <c r="N558" i="1" s="1"/>
  <c r="J559" i="1"/>
  <c r="N559" i="1" s="1"/>
  <c r="J561" i="1"/>
  <c r="N561" i="1" s="1"/>
  <c r="J563" i="1"/>
  <c r="N563" i="1" s="1"/>
  <c r="J564" i="1"/>
  <c r="N564" i="1" s="1"/>
  <c r="J565" i="1"/>
  <c r="N565" i="1" s="1"/>
  <c r="J566" i="1"/>
  <c r="N566" i="1" s="1"/>
  <c r="J567" i="1"/>
  <c r="N567" i="1" s="1"/>
  <c r="J569" i="1"/>
  <c r="N569" i="1" s="1"/>
  <c r="J572" i="1"/>
  <c r="N572" i="1" s="1"/>
  <c r="J573" i="1"/>
  <c r="N573" i="1" s="1"/>
  <c r="J574" i="1"/>
  <c r="N574" i="1" s="1"/>
  <c r="J575" i="1"/>
  <c r="N575" i="1" s="1"/>
  <c r="J577" i="1"/>
  <c r="N577" i="1" s="1"/>
  <c r="J579" i="1"/>
  <c r="N579" i="1" s="1"/>
  <c r="J580" i="1"/>
  <c r="N580" i="1" s="1"/>
  <c r="J582" i="1"/>
  <c r="N582" i="1" s="1"/>
  <c r="J583" i="1"/>
  <c r="N583" i="1" s="1"/>
  <c r="J585" i="1"/>
  <c r="N585" i="1" s="1"/>
  <c r="J587" i="1"/>
  <c r="N587" i="1" s="1"/>
  <c r="J588" i="1"/>
  <c r="N588" i="1" s="1"/>
  <c r="J589" i="1"/>
  <c r="N589" i="1" s="1"/>
  <c r="J590" i="1"/>
  <c r="N590" i="1" s="1"/>
  <c r="J591" i="1"/>
  <c r="N591" i="1" s="1"/>
  <c r="J592" i="1"/>
  <c r="N592" i="1" s="1"/>
  <c r="J593" i="1"/>
  <c r="N593" i="1" s="1"/>
  <c r="J595" i="1"/>
  <c r="N595" i="1" s="1"/>
  <c r="J596" i="1"/>
  <c r="N596" i="1" s="1"/>
  <c r="J598" i="1"/>
  <c r="N598" i="1" s="1"/>
  <c r="J599" i="1"/>
  <c r="N599" i="1" s="1"/>
  <c r="J601" i="1"/>
  <c r="N601" i="1" s="1"/>
  <c r="J603" i="1"/>
  <c r="N603" i="1" s="1"/>
  <c r="J604" i="1"/>
  <c r="N604" i="1" s="1"/>
  <c r="J605" i="1"/>
  <c r="N605" i="1" s="1"/>
  <c r="J606" i="1"/>
  <c r="N606" i="1" s="1"/>
  <c r="J607" i="1"/>
  <c r="N607" i="1" s="1"/>
  <c r="J609" i="1"/>
  <c r="N609" i="1" s="1"/>
  <c r="J611" i="1"/>
  <c r="N611" i="1" s="1"/>
  <c r="J613" i="1"/>
  <c r="N613" i="1" s="1"/>
  <c r="J614" i="1"/>
  <c r="N614" i="1" s="1"/>
  <c r="J615" i="1"/>
  <c r="N615" i="1" s="1"/>
  <c r="J617" i="1"/>
  <c r="N617" i="1" s="1"/>
  <c r="J619" i="1"/>
  <c r="N619" i="1" s="1"/>
  <c r="J620" i="1"/>
  <c r="N620" i="1" s="1"/>
  <c r="J621" i="1"/>
  <c r="N621" i="1" s="1"/>
  <c r="J623" i="1"/>
  <c r="N623" i="1" s="1"/>
  <c r="J625" i="1"/>
  <c r="N625" i="1" s="1"/>
  <c r="J627" i="1"/>
  <c r="N627" i="1" s="1"/>
  <c r="J628" i="1"/>
  <c r="N628" i="1" s="1"/>
  <c r="J629" i="1"/>
  <c r="N629" i="1" s="1"/>
  <c r="J630" i="1"/>
  <c r="N630" i="1" s="1"/>
  <c r="J631" i="1"/>
  <c r="N631" i="1" s="1"/>
  <c r="J633" i="1"/>
  <c r="N633" i="1" s="1"/>
  <c r="J635" i="1"/>
  <c r="N635" i="1" s="1"/>
  <c r="J636" i="1"/>
  <c r="N636" i="1" s="1"/>
  <c r="J637" i="1"/>
  <c r="N637" i="1" s="1"/>
  <c r="J638" i="1"/>
  <c r="N638" i="1" s="1"/>
  <c r="J639" i="1"/>
  <c r="N639" i="1" s="1"/>
  <c r="J641" i="1"/>
  <c r="N641" i="1" s="1"/>
  <c r="J643" i="1"/>
  <c r="N643" i="1" s="1"/>
  <c r="J645" i="1"/>
  <c r="N645" i="1" s="1"/>
  <c r="J646" i="1"/>
  <c r="N646" i="1" s="1"/>
  <c r="J647" i="1"/>
  <c r="N647" i="1" s="1"/>
  <c r="J649" i="1"/>
  <c r="N649" i="1" s="1"/>
  <c r="J651" i="1"/>
  <c r="N651" i="1" s="1"/>
  <c r="J652" i="1"/>
  <c r="N652" i="1" s="1"/>
  <c r="J655" i="1"/>
  <c r="N655" i="1" s="1"/>
  <c r="J656" i="1"/>
  <c r="N656" i="1" s="1"/>
  <c r="J657" i="1"/>
  <c r="N657" i="1" s="1"/>
  <c r="J659" i="1"/>
  <c r="N659" i="1" s="1"/>
  <c r="J660" i="1"/>
  <c r="N660" i="1" s="1"/>
  <c r="J662" i="1"/>
  <c r="N662" i="1" s="1"/>
  <c r="J663" i="1"/>
  <c r="N663" i="1" s="1"/>
  <c r="J665" i="1"/>
  <c r="N665" i="1" s="1"/>
  <c r="J667" i="1"/>
  <c r="N667" i="1" s="1"/>
  <c r="J668" i="1"/>
  <c r="N668" i="1" s="1"/>
  <c r="J669" i="1"/>
  <c r="N669" i="1" s="1"/>
  <c r="J670" i="1"/>
  <c r="N670" i="1" s="1"/>
  <c r="J671" i="1"/>
  <c r="N671" i="1" s="1"/>
  <c r="J673" i="1"/>
  <c r="N673" i="1" s="1"/>
  <c r="J676" i="1"/>
  <c r="N676" i="1" s="1"/>
  <c r="J678" i="1"/>
  <c r="N678" i="1" s="1"/>
  <c r="J679" i="1"/>
  <c r="N679" i="1" s="1"/>
  <c r="J681" i="1"/>
  <c r="N681" i="1" s="1"/>
  <c r="J683" i="1"/>
  <c r="N683" i="1" s="1"/>
  <c r="J684" i="1"/>
  <c r="N684" i="1" s="1"/>
  <c r="J686" i="1"/>
  <c r="N686" i="1" s="1"/>
  <c r="J687" i="1"/>
  <c r="N687" i="1" s="1"/>
  <c r="J689" i="1"/>
  <c r="N689" i="1" s="1"/>
  <c r="J691" i="1"/>
  <c r="N691" i="1" s="1"/>
  <c r="J692" i="1"/>
  <c r="N692" i="1" s="1"/>
  <c r="J693" i="1"/>
  <c r="N693" i="1" s="1"/>
  <c r="J694" i="1"/>
  <c r="N694" i="1" s="1"/>
  <c r="J695" i="1"/>
  <c r="N695" i="1" s="1"/>
  <c r="J697" i="1"/>
  <c r="N697" i="1" s="1"/>
  <c r="J699" i="1"/>
  <c r="N699" i="1" s="1"/>
  <c r="J700" i="1"/>
  <c r="N700" i="1" s="1"/>
  <c r="J701" i="1"/>
  <c r="N701" i="1" s="1"/>
  <c r="J702" i="1"/>
  <c r="N702" i="1" s="1"/>
  <c r="J703" i="1"/>
  <c r="N703" i="1" s="1"/>
  <c r="J705" i="1"/>
  <c r="N705" i="1" s="1"/>
  <c r="J708" i="1"/>
  <c r="N708" i="1" s="1"/>
  <c r="J709" i="1"/>
  <c r="N709" i="1" s="1"/>
  <c r="J710" i="1"/>
  <c r="N710" i="1" s="1"/>
  <c r="J711" i="1"/>
  <c r="N711" i="1" s="1"/>
  <c r="J713" i="1"/>
  <c r="N713" i="1" s="1"/>
  <c r="J715" i="1"/>
  <c r="N715" i="1" s="1"/>
  <c r="J716" i="1"/>
  <c r="N716" i="1" s="1"/>
  <c r="J718" i="1"/>
  <c r="N718" i="1" s="1"/>
  <c r="J719" i="1"/>
  <c r="N719" i="1" s="1"/>
  <c r="J720" i="1"/>
  <c r="N720" i="1" s="1"/>
  <c r="J721" i="1"/>
  <c r="N721" i="1" s="1"/>
  <c r="J723" i="1"/>
  <c r="N723" i="1" s="1"/>
  <c r="J724" i="1"/>
  <c r="N724" i="1" s="1"/>
  <c r="J725" i="1"/>
  <c r="N725" i="1" s="1"/>
  <c r="J727" i="1"/>
  <c r="N727" i="1" s="1"/>
  <c r="J729" i="1"/>
  <c r="N729" i="1" s="1"/>
  <c r="J731" i="1"/>
  <c r="N731" i="1" s="1"/>
  <c r="J732" i="1"/>
  <c r="N732" i="1" s="1"/>
  <c r="J734" i="1"/>
  <c r="N734" i="1" s="1"/>
  <c r="J735" i="1"/>
  <c r="N735" i="1" s="1"/>
  <c r="J737" i="1"/>
  <c r="N737" i="1" s="1"/>
  <c r="J739" i="1"/>
  <c r="N739" i="1" s="1"/>
  <c r="J740" i="1"/>
  <c r="N740" i="1" s="1"/>
  <c r="J742" i="1"/>
  <c r="N742" i="1" s="1"/>
  <c r="J743" i="1"/>
  <c r="N743" i="1" s="1"/>
  <c r="J745" i="1"/>
  <c r="N745" i="1" s="1"/>
  <c r="J747" i="1"/>
  <c r="N747" i="1" s="1"/>
  <c r="J749" i="1"/>
  <c r="N749" i="1" s="1"/>
  <c r="J750" i="1"/>
  <c r="N750" i="1" s="1"/>
  <c r="J751" i="1"/>
  <c r="N751" i="1" s="1"/>
  <c r="J753" i="1"/>
  <c r="N753" i="1" s="1"/>
  <c r="J755" i="1"/>
  <c r="N755" i="1" s="1"/>
  <c r="J756" i="1"/>
  <c r="N756" i="1" s="1"/>
  <c r="J759" i="1"/>
  <c r="N759" i="1" s="1"/>
  <c r="J761" i="1"/>
  <c r="N761" i="1" s="1"/>
  <c r="J763" i="1"/>
  <c r="N763" i="1" s="1"/>
  <c r="J764" i="1"/>
  <c r="N764" i="1" s="1"/>
  <c r="J766" i="1"/>
  <c r="N766" i="1" s="1"/>
  <c r="J767" i="1"/>
  <c r="N767" i="1" s="1"/>
  <c r="J769" i="1"/>
  <c r="N769" i="1" s="1"/>
  <c r="J771" i="1"/>
  <c r="N771" i="1" s="1"/>
  <c r="J772" i="1"/>
  <c r="N772" i="1" s="1"/>
  <c r="J773" i="1"/>
  <c r="N773" i="1" s="1"/>
  <c r="J774" i="1"/>
  <c r="N774" i="1" s="1"/>
  <c r="J775" i="1"/>
  <c r="N775" i="1" s="1"/>
  <c r="J777" i="1"/>
  <c r="N777" i="1" s="1"/>
  <c r="J779" i="1"/>
  <c r="N779" i="1" s="1"/>
  <c r="J782" i="1"/>
  <c r="N782" i="1" s="1"/>
  <c r="J783" i="1"/>
  <c r="N783" i="1" s="1"/>
  <c r="J784" i="1"/>
  <c r="N784" i="1" s="1"/>
  <c r="J785" i="1"/>
  <c r="N785" i="1" s="1"/>
  <c r="J787" i="1"/>
  <c r="N787" i="1" s="1"/>
  <c r="J788" i="1"/>
  <c r="N788" i="1" s="1"/>
  <c r="J790" i="1"/>
  <c r="N790" i="1" s="1"/>
  <c r="J791" i="1"/>
  <c r="N791" i="1" s="1"/>
  <c r="J793" i="1"/>
  <c r="N793" i="1" s="1"/>
  <c r="J795" i="1"/>
  <c r="N795" i="1" s="1"/>
  <c r="J796" i="1"/>
  <c r="N796" i="1" s="1"/>
  <c r="J797" i="1"/>
  <c r="N797" i="1" s="1"/>
  <c r="J798" i="1"/>
  <c r="N798" i="1" s="1"/>
  <c r="J799" i="1"/>
  <c r="N799" i="1" s="1"/>
  <c r="J801" i="1"/>
  <c r="N801" i="1" s="1"/>
  <c r="J803" i="1"/>
  <c r="N803" i="1" s="1"/>
  <c r="J804" i="1"/>
  <c r="N804" i="1" s="1"/>
  <c r="J805" i="1"/>
  <c r="N805" i="1" s="1"/>
  <c r="J806" i="1"/>
  <c r="N806" i="1" s="1"/>
  <c r="J807" i="1"/>
  <c r="N807" i="1" s="1"/>
  <c r="J809" i="1"/>
  <c r="N809" i="1" s="1"/>
  <c r="J812" i="1"/>
  <c r="N812" i="1" s="1"/>
  <c r="J814" i="1"/>
  <c r="N814" i="1" s="1"/>
  <c r="J815" i="1"/>
  <c r="N815" i="1" s="1"/>
  <c r="J817" i="1"/>
  <c r="N817" i="1" s="1"/>
  <c r="J818" i="1"/>
  <c r="N818" i="1" s="1"/>
  <c r="J819" i="1"/>
  <c r="N819" i="1" s="1"/>
  <c r="J822" i="1"/>
  <c r="N822" i="1" s="1"/>
  <c r="J823" i="1"/>
  <c r="N823" i="1" s="1"/>
  <c r="J825" i="1"/>
  <c r="N825" i="1" s="1"/>
  <c r="J826" i="1"/>
  <c r="N826" i="1" s="1"/>
  <c r="J827" i="1"/>
  <c r="N827" i="1" s="1"/>
  <c r="J828" i="1"/>
  <c r="N828" i="1" s="1"/>
  <c r="J830" i="1"/>
  <c r="N830" i="1" s="1"/>
  <c r="J831" i="1"/>
  <c r="N831" i="1" s="1"/>
  <c r="J833" i="1"/>
  <c r="N833" i="1" s="1"/>
  <c r="J835" i="1"/>
  <c r="N835" i="1" s="1"/>
  <c r="J836" i="1"/>
  <c r="N836" i="1" s="1"/>
  <c r="J837" i="1"/>
  <c r="N837" i="1" s="1"/>
  <c r="J839" i="1"/>
  <c r="N839" i="1" s="1"/>
  <c r="J841" i="1"/>
  <c r="N841" i="1" s="1"/>
  <c r="J843" i="1"/>
  <c r="N843" i="1" s="1"/>
  <c r="J844" i="1"/>
  <c r="N844" i="1" s="1"/>
  <c r="J846" i="1"/>
  <c r="N846" i="1" s="1"/>
  <c r="J847" i="1"/>
  <c r="N847" i="1" s="1"/>
  <c r="J849" i="1"/>
  <c r="N849" i="1" s="1"/>
  <c r="J850" i="1"/>
  <c r="N850" i="1" s="1"/>
  <c r="J851" i="1"/>
  <c r="N851" i="1" s="1"/>
  <c r="J852" i="1"/>
  <c r="N852" i="1" s="1"/>
  <c r="J854" i="1"/>
  <c r="N854" i="1" s="1"/>
  <c r="J855" i="1"/>
  <c r="N855" i="1" s="1"/>
  <c r="J857" i="1"/>
  <c r="N857" i="1" s="1"/>
  <c r="J858" i="1"/>
  <c r="N858" i="1" s="1"/>
  <c r="J859" i="1"/>
  <c r="N859" i="1" s="1"/>
  <c r="J860" i="1"/>
  <c r="N860" i="1" s="1"/>
  <c r="J861" i="1"/>
  <c r="N861" i="1" s="1"/>
  <c r="J862" i="1"/>
  <c r="N862" i="1" s="1"/>
  <c r="J863" i="1"/>
  <c r="N863" i="1" s="1"/>
  <c r="J865" i="1"/>
  <c r="N865" i="1" s="1"/>
  <c r="J867" i="1"/>
  <c r="N867" i="1" s="1"/>
  <c r="J868" i="1"/>
  <c r="N868" i="1" s="1"/>
  <c r="J869" i="1"/>
  <c r="N869" i="1" s="1"/>
  <c r="J870" i="1"/>
  <c r="N870" i="1" s="1"/>
  <c r="J871" i="1"/>
  <c r="N871" i="1" s="1"/>
  <c r="J873" i="1"/>
  <c r="N873" i="1" s="1"/>
  <c r="J875" i="1"/>
  <c r="N875" i="1" s="1"/>
  <c r="J876" i="1"/>
  <c r="N876" i="1" s="1"/>
  <c r="J877" i="1"/>
  <c r="N877" i="1" s="1"/>
  <c r="J878" i="1"/>
  <c r="N878" i="1" s="1"/>
  <c r="J879" i="1"/>
  <c r="N879" i="1" s="1"/>
  <c r="J881" i="1"/>
  <c r="N881" i="1" s="1"/>
  <c r="J883" i="1"/>
  <c r="N883" i="1" s="1"/>
  <c r="J884" i="1"/>
  <c r="N884" i="1" s="1"/>
  <c r="J885" i="1"/>
  <c r="N885" i="1" s="1"/>
  <c r="J886" i="1"/>
  <c r="N886" i="1" s="1"/>
  <c r="J887" i="1"/>
  <c r="N887" i="1" s="1"/>
  <c r="J889" i="1"/>
  <c r="N889" i="1" s="1"/>
  <c r="J890" i="1"/>
  <c r="N890" i="1" s="1"/>
  <c r="J891" i="1"/>
  <c r="N891" i="1" s="1"/>
  <c r="J892" i="1"/>
  <c r="N892" i="1" s="1"/>
  <c r="J893" i="1"/>
  <c r="N893" i="1" s="1"/>
  <c r="J894" i="1"/>
  <c r="N894" i="1" s="1"/>
  <c r="J895" i="1"/>
  <c r="N895" i="1" s="1"/>
  <c r="J897" i="1"/>
  <c r="N897" i="1" s="1"/>
  <c r="J899" i="1"/>
  <c r="N899" i="1" s="1"/>
  <c r="J900" i="1"/>
  <c r="N900" i="1" s="1"/>
  <c r="J902" i="1"/>
  <c r="N902" i="1" s="1"/>
  <c r="J903" i="1"/>
  <c r="N903" i="1" s="1"/>
  <c r="J905" i="1"/>
  <c r="N905" i="1" s="1"/>
  <c r="J906" i="1"/>
  <c r="N906" i="1" s="1"/>
  <c r="J907" i="1"/>
  <c r="N907" i="1" s="1"/>
  <c r="J908" i="1"/>
  <c r="N908" i="1" s="1"/>
  <c r="J910" i="1"/>
  <c r="N910" i="1" s="1"/>
  <c r="J911" i="1"/>
  <c r="N911" i="1" s="1"/>
  <c r="J913" i="1"/>
  <c r="N913" i="1" s="1"/>
  <c r="J914" i="1"/>
  <c r="N914" i="1" s="1"/>
  <c r="J915" i="1"/>
  <c r="N915" i="1" s="1"/>
  <c r="J916" i="1"/>
  <c r="N916" i="1" s="1"/>
  <c r="J917" i="1"/>
  <c r="N917" i="1" s="1"/>
  <c r="J918" i="1"/>
  <c r="N918" i="1" s="1"/>
  <c r="J919" i="1"/>
  <c r="N919" i="1" s="1"/>
  <c r="J921" i="1"/>
  <c r="N921" i="1" s="1"/>
  <c r="J922" i="1"/>
  <c r="N922" i="1" s="1"/>
  <c r="J923" i="1"/>
  <c r="N923" i="1" s="1"/>
  <c r="J924" i="1"/>
  <c r="N924" i="1" s="1"/>
  <c r="J926" i="1"/>
  <c r="N926" i="1" s="1"/>
  <c r="J927" i="1"/>
  <c r="N927" i="1" s="1"/>
  <c r="J929" i="1"/>
  <c r="N929" i="1" s="1"/>
  <c r="J930" i="1"/>
  <c r="N930" i="1" s="1"/>
  <c r="J931" i="1"/>
  <c r="N931" i="1" s="1"/>
  <c r="J932" i="1"/>
  <c r="N932" i="1" s="1"/>
  <c r="J933" i="1"/>
  <c r="N933" i="1" s="1"/>
  <c r="J934" i="1"/>
  <c r="N934" i="1" s="1"/>
  <c r="J935" i="1"/>
  <c r="N935" i="1" s="1"/>
  <c r="J937" i="1"/>
  <c r="N937" i="1" s="1"/>
  <c r="J939" i="1"/>
  <c r="N939" i="1" s="1"/>
  <c r="J940" i="1"/>
  <c r="N940" i="1" s="1"/>
  <c r="J941" i="1"/>
  <c r="N941" i="1" s="1"/>
  <c r="J942" i="1"/>
  <c r="N942" i="1" s="1"/>
  <c r="J943" i="1"/>
  <c r="N943" i="1" s="1"/>
  <c r="J945" i="1"/>
  <c r="N945" i="1" s="1"/>
  <c r="J947" i="1"/>
  <c r="N947" i="1" s="1"/>
  <c r="J948" i="1"/>
  <c r="N948" i="1" s="1"/>
  <c r="J949" i="1"/>
  <c r="N949" i="1" s="1"/>
  <c r="J950" i="1"/>
  <c r="N950" i="1" s="1"/>
  <c r="J951" i="1"/>
  <c r="N951" i="1" s="1"/>
  <c r="J953" i="1"/>
  <c r="N953" i="1" s="1"/>
  <c r="J954" i="1"/>
  <c r="N954" i="1" s="1"/>
  <c r="J955" i="1"/>
  <c r="N955" i="1" s="1"/>
  <c r="J956" i="1"/>
  <c r="N956" i="1" s="1"/>
  <c r="J957" i="1"/>
  <c r="N957" i="1" s="1"/>
  <c r="J958" i="1"/>
  <c r="N958" i="1" s="1"/>
  <c r="J959" i="1"/>
  <c r="N959" i="1" s="1"/>
  <c r="J961" i="1"/>
  <c r="N961" i="1" s="1"/>
  <c r="J963" i="1"/>
  <c r="N963" i="1" s="1"/>
  <c r="J964" i="1"/>
  <c r="N964" i="1" s="1"/>
  <c r="J966" i="1"/>
  <c r="N966" i="1" s="1"/>
  <c r="J967" i="1"/>
  <c r="N967" i="1" s="1"/>
  <c r="J969" i="1"/>
  <c r="N969" i="1" s="1"/>
  <c r="J970" i="1"/>
  <c r="N970" i="1" s="1"/>
  <c r="J971" i="1"/>
  <c r="N971" i="1" s="1"/>
  <c r="J972" i="1"/>
  <c r="N972" i="1" s="1"/>
  <c r="J974" i="1"/>
  <c r="N974" i="1" s="1"/>
  <c r="J975" i="1"/>
  <c r="N975" i="1" s="1"/>
  <c r="J977" i="1"/>
  <c r="N977" i="1" s="1"/>
  <c r="J978" i="1"/>
  <c r="N978" i="1" s="1"/>
  <c r="J979" i="1"/>
  <c r="N979" i="1" s="1"/>
  <c r="J980" i="1"/>
  <c r="N980" i="1" s="1"/>
  <c r="J981" i="1"/>
  <c r="N981" i="1" s="1"/>
  <c r="J983" i="1"/>
  <c r="N983" i="1" s="1"/>
  <c r="J985" i="1"/>
  <c r="N985" i="1" s="1"/>
  <c r="J986" i="1"/>
  <c r="N986" i="1" s="1"/>
  <c r="J987" i="1"/>
  <c r="N987" i="1" s="1"/>
  <c r="J988" i="1"/>
  <c r="N988" i="1" s="1"/>
  <c r="J990" i="1"/>
  <c r="N990" i="1" s="1"/>
  <c r="J991" i="1"/>
  <c r="N991" i="1" s="1"/>
  <c r="J993" i="1"/>
  <c r="N993" i="1" s="1"/>
  <c r="J994" i="1"/>
  <c r="N994" i="1" s="1"/>
  <c r="J995" i="1"/>
  <c r="N995" i="1" s="1"/>
  <c r="J996" i="1"/>
  <c r="N996" i="1" s="1"/>
  <c r="J997" i="1"/>
  <c r="N997" i="1" s="1"/>
  <c r="J998" i="1"/>
  <c r="N998" i="1" s="1"/>
  <c r="J999" i="1"/>
  <c r="N999" i="1" s="1"/>
  <c r="J1001" i="1"/>
  <c r="N1001" i="1" s="1"/>
  <c r="J1003" i="1"/>
  <c r="N1003" i="1" s="1"/>
  <c r="J1004" i="1"/>
  <c r="N1004" i="1" s="1"/>
  <c r="J1005" i="1"/>
  <c r="N1005" i="1" s="1"/>
  <c r="J1006" i="1"/>
  <c r="N1006" i="1" s="1"/>
  <c r="J2" i="1"/>
  <c r="N2" i="1" s="1"/>
  <c r="J714" i="1" l="1"/>
  <c r="N714" i="1" s="1"/>
  <c r="L714" i="1"/>
  <c r="J690" i="1"/>
  <c r="N690" i="1" s="1"/>
  <c r="L690" i="1"/>
  <c r="J682" i="1"/>
  <c r="N682" i="1" s="1"/>
  <c r="L682" i="1"/>
  <c r="J658" i="1"/>
  <c r="N658" i="1" s="1"/>
  <c r="L658" i="1"/>
  <c r="J570" i="1"/>
  <c r="N570" i="1" s="1"/>
  <c r="L570" i="1"/>
  <c r="J562" i="1"/>
  <c r="N562" i="1" s="1"/>
  <c r="L562" i="1"/>
  <c r="J514" i="1"/>
  <c r="N514" i="1" s="1"/>
  <c r="L514" i="1"/>
  <c r="J394" i="1"/>
  <c r="N394" i="1" s="1"/>
  <c r="L394" i="1"/>
  <c r="J338" i="1"/>
  <c r="N338" i="1" s="1"/>
  <c r="L338" i="1"/>
  <c r="J330" i="1"/>
  <c r="N330" i="1" s="1"/>
  <c r="L330" i="1"/>
  <c r="J266" i="1"/>
  <c r="N266" i="1" s="1"/>
  <c r="L266" i="1"/>
  <c r="L866" i="1"/>
  <c r="J866" i="1"/>
  <c r="N866" i="1" s="1"/>
  <c r="J989" i="1"/>
  <c r="N989" i="1" s="1"/>
  <c r="J962" i="1"/>
  <c r="N962" i="1" s="1"/>
  <c r="J925" i="1"/>
  <c r="N925" i="1" s="1"/>
  <c r="J898" i="1"/>
  <c r="N898" i="1" s="1"/>
  <c r="J842" i="1"/>
  <c r="N842" i="1" s="1"/>
  <c r="J821" i="1"/>
  <c r="N821" i="1" s="1"/>
  <c r="J765" i="1"/>
  <c r="N765" i="1" s="1"/>
  <c r="J741" i="1"/>
  <c r="N741" i="1" s="1"/>
  <c r="J661" i="1"/>
  <c r="N661" i="1" s="1"/>
  <c r="L909" i="1"/>
  <c r="L845" i="1"/>
  <c r="L786" i="1"/>
  <c r="L541" i="1"/>
  <c r="L726" i="1"/>
  <c r="J726" i="1"/>
  <c r="N726" i="1" s="1"/>
  <c r="J654" i="1"/>
  <c r="N654" i="1" s="1"/>
  <c r="L654" i="1"/>
  <c r="L28" i="1"/>
  <c r="M28" i="1" s="1"/>
  <c r="J28" i="1"/>
  <c r="N28" i="1" s="1"/>
  <c r="L829" i="1"/>
  <c r="J829" i="1"/>
  <c r="N829" i="1" s="1"/>
  <c r="P829" i="1" s="1"/>
  <c r="Q829" i="1" s="1"/>
  <c r="L581" i="1"/>
  <c r="M581" i="1" s="1"/>
  <c r="J581" i="1"/>
  <c r="N581" i="1" s="1"/>
  <c r="L549" i="1"/>
  <c r="J549" i="1"/>
  <c r="N549" i="1" s="1"/>
  <c r="L188" i="1"/>
  <c r="M188" i="1" s="1"/>
  <c r="J188" i="1"/>
  <c r="N188" i="1" s="1"/>
  <c r="J901" i="1"/>
  <c r="N901" i="1" s="1"/>
  <c r="J597" i="1"/>
  <c r="N597" i="1" s="1"/>
  <c r="P597" i="1" s="1"/>
  <c r="Q597" i="1" s="1"/>
  <c r="J220" i="1"/>
  <c r="N220" i="1" s="1"/>
  <c r="L757" i="1"/>
  <c r="M757" i="1" s="1"/>
  <c r="L685" i="1"/>
  <c r="P635" i="1"/>
  <c r="Q635" i="1" s="1"/>
  <c r="L578" i="1"/>
  <c r="L386" i="1"/>
  <c r="L124" i="1"/>
  <c r="M124" i="1" s="1"/>
  <c r="L780" i="1"/>
  <c r="P780" i="1" s="1"/>
  <c r="Q780" i="1" s="1"/>
  <c r="J780" i="1"/>
  <c r="N780" i="1" s="1"/>
  <c r="L644" i="1"/>
  <c r="P644" i="1" s="1"/>
  <c r="Q644" i="1" s="1"/>
  <c r="J644" i="1"/>
  <c r="N644" i="1" s="1"/>
  <c r="L789" i="1"/>
  <c r="J789" i="1"/>
  <c r="N789" i="1" s="1"/>
  <c r="J1002" i="1"/>
  <c r="N1002" i="1" s="1"/>
  <c r="J965" i="1"/>
  <c r="N965" i="1" s="1"/>
  <c r="J938" i="1"/>
  <c r="N938" i="1" s="1"/>
  <c r="P938" i="1" s="1"/>
  <c r="Q938" i="1" s="1"/>
  <c r="J982" i="1"/>
  <c r="N982" i="1" s="1"/>
  <c r="J973" i="1"/>
  <c r="N973" i="1" s="1"/>
  <c r="J946" i="1"/>
  <c r="N946" i="1" s="1"/>
  <c r="J882" i="1"/>
  <c r="N882" i="1" s="1"/>
  <c r="J853" i="1"/>
  <c r="N853" i="1" s="1"/>
  <c r="J834" i="1"/>
  <c r="N834" i="1" s="1"/>
  <c r="J813" i="1"/>
  <c r="N813" i="1" s="1"/>
  <c r="J156" i="1"/>
  <c r="N156" i="1" s="1"/>
  <c r="P795" i="1"/>
  <c r="Q795" i="1" s="1"/>
  <c r="L530" i="1"/>
  <c r="L434" i="1"/>
  <c r="L571" i="1"/>
  <c r="J571" i="1"/>
  <c r="N571" i="1" s="1"/>
  <c r="L840" i="1"/>
  <c r="M840" i="1" s="1"/>
  <c r="P715" i="1"/>
  <c r="Q715" i="1" s="1"/>
  <c r="L584" i="1"/>
  <c r="M584" i="1" s="1"/>
  <c r="P516" i="1"/>
  <c r="Q516" i="1" s="1"/>
  <c r="L496" i="1"/>
  <c r="M496" i="1" s="1"/>
  <c r="P443" i="1"/>
  <c r="Q443" i="1" s="1"/>
  <c r="L392" i="1"/>
  <c r="M392" i="1" s="1"/>
  <c r="J728" i="1"/>
  <c r="N728" i="1" s="1"/>
  <c r="J536" i="1"/>
  <c r="N536" i="1" s="1"/>
  <c r="J800" i="1"/>
  <c r="N800" i="1" s="1"/>
  <c r="J736" i="1"/>
  <c r="N736" i="1" s="1"/>
  <c r="P736" i="1" s="1"/>
  <c r="Q736" i="1" s="1"/>
  <c r="J672" i="1"/>
  <c r="N672" i="1" s="1"/>
  <c r="J608" i="1"/>
  <c r="N608" i="1" s="1"/>
  <c r="J544" i="1"/>
  <c r="N544" i="1" s="1"/>
  <c r="J480" i="1"/>
  <c r="N480" i="1" s="1"/>
  <c r="P480" i="1" s="1"/>
  <c r="Q480" i="1" s="1"/>
  <c r="J416" i="1"/>
  <c r="N416" i="1" s="1"/>
  <c r="J352" i="1"/>
  <c r="N352" i="1" s="1"/>
  <c r="J288" i="1"/>
  <c r="N288" i="1" s="1"/>
  <c r="J808" i="1"/>
  <c r="N808" i="1" s="1"/>
  <c r="P808" i="1" s="1"/>
  <c r="Q808" i="1" s="1"/>
  <c r="J744" i="1"/>
  <c r="N744" i="1" s="1"/>
  <c r="J680" i="1"/>
  <c r="N680" i="1" s="1"/>
  <c r="J616" i="1"/>
  <c r="N616" i="1" s="1"/>
  <c r="J552" i="1"/>
  <c r="N552" i="1" s="1"/>
  <c r="P552" i="1" s="1"/>
  <c r="Q552" i="1" s="1"/>
  <c r="J424" i="1"/>
  <c r="N424" i="1" s="1"/>
  <c r="J360" i="1"/>
  <c r="N360" i="1" s="1"/>
  <c r="J296" i="1"/>
  <c r="N296" i="1" s="1"/>
  <c r="P667" i="1"/>
  <c r="Q667" i="1" s="1"/>
  <c r="P515" i="1"/>
  <c r="Q515" i="1" s="1"/>
  <c r="L432" i="1"/>
  <c r="P332" i="1"/>
  <c r="Q332" i="1" s="1"/>
  <c r="L312" i="1"/>
  <c r="P312" i="1" s="1"/>
  <c r="Q312" i="1" s="1"/>
  <c r="L280" i="1"/>
  <c r="M280" i="1" s="1"/>
  <c r="P260" i="1"/>
  <c r="Q260" i="1" s="1"/>
  <c r="L848" i="1"/>
  <c r="M848" i="1" s="1"/>
  <c r="P763" i="1"/>
  <c r="Q763" i="1" s="1"/>
  <c r="L504" i="1"/>
  <c r="L472" i="1"/>
  <c r="P451" i="1"/>
  <c r="Q451" i="1" s="1"/>
  <c r="L440" i="1"/>
  <c r="P440" i="1" s="1"/>
  <c r="Q440" i="1" s="1"/>
  <c r="P268" i="1"/>
  <c r="Q268" i="1" s="1"/>
  <c r="L264" i="1"/>
  <c r="J600" i="1"/>
  <c r="N600" i="1" s="1"/>
  <c r="J1000" i="1"/>
  <c r="N1000" i="1" s="1"/>
  <c r="P1000" i="1" s="1"/>
  <c r="Q1000" i="1" s="1"/>
  <c r="J984" i="1"/>
  <c r="N984" i="1" s="1"/>
  <c r="J960" i="1"/>
  <c r="N960" i="1" s="1"/>
  <c r="J944" i="1"/>
  <c r="N944" i="1" s="1"/>
  <c r="J928" i="1"/>
  <c r="N928" i="1" s="1"/>
  <c r="P928" i="1" s="1"/>
  <c r="Q928" i="1" s="1"/>
  <c r="J912" i="1"/>
  <c r="N912" i="1" s="1"/>
  <c r="J896" i="1"/>
  <c r="N896" i="1" s="1"/>
  <c r="J880" i="1"/>
  <c r="N880" i="1" s="1"/>
  <c r="J832" i="1"/>
  <c r="N832" i="1" s="1"/>
  <c r="P832" i="1" s="1"/>
  <c r="Q832" i="1" s="1"/>
  <c r="J816" i="1"/>
  <c r="N816" i="1" s="1"/>
  <c r="J688" i="1"/>
  <c r="N688" i="1" s="1"/>
  <c r="J368" i="1"/>
  <c r="N368" i="1" s="1"/>
  <c r="J304" i="1"/>
  <c r="N304" i="1" s="1"/>
  <c r="P304" i="1" s="1"/>
  <c r="Q304" i="1" s="1"/>
  <c r="J760" i="1"/>
  <c r="N760" i="1" s="1"/>
  <c r="J696" i="1"/>
  <c r="N696" i="1" s="1"/>
  <c r="J632" i="1"/>
  <c r="N632" i="1" s="1"/>
  <c r="L408" i="1"/>
  <c r="M408" i="1" s="1"/>
  <c r="P388" i="1"/>
  <c r="Q388" i="1" s="1"/>
  <c r="L320" i="1"/>
  <c r="J792" i="1"/>
  <c r="N792" i="1" s="1"/>
  <c r="J664" i="1"/>
  <c r="N664" i="1" s="1"/>
  <c r="P664" i="1" s="1"/>
  <c r="Q664" i="1" s="1"/>
  <c r="J992" i="1"/>
  <c r="N992" i="1" s="1"/>
  <c r="J976" i="1"/>
  <c r="N976" i="1" s="1"/>
  <c r="J968" i="1"/>
  <c r="N968" i="1" s="1"/>
  <c r="J952" i="1"/>
  <c r="N952" i="1" s="1"/>
  <c r="P952" i="1" s="1"/>
  <c r="Q952" i="1" s="1"/>
  <c r="J936" i="1"/>
  <c r="N936" i="1" s="1"/>
  <c r="J920" i="1"/>
  <c r="N920" i="1" s="1"/>
  <c r="J904" i="1"/>
  <c r="N904" i="1" s="1"/>
  <c r="J888" i="1"/>
  <c r="N888" i="1" s="1"/>
  <c r="J872" i="1"/>
  <c r="N872" i="1" s="1"/>
  <c r="J856" i="1"/>
  <c r="N856" i="1" s="1"/>
  <c r="J824" i="1"/>
  <c r="N824" i="1" s="1"/>
  <c r="J752" i="1"/>
  <c r="N752" i="1" s="1"/>
  <c r="P752" i="1" s="1"/>
  <c r="Q752" i="1" s="1"/>
  <c r="J624" i="1"/>
  <c r="N624" i="1" s="1"/>
  <c r="J560" i="1"/>
  <c r="N560" i="1" s="1"/>
  <c r="J768" i="1"/>
  <c r="N768" i="1" s="1"/>
  <c r="J704" i="1"/>
  <c r="N704" i="1" s="1"/>
  <c r="P704" i="1" s="1"/>
  <c r="Q704" i="1" s="1"/>
  <c r="J640" i="1"/>
  <c r="N640" i="1" s="1"/>
  <c r="J576" i="1"/>
  <c r="N576" i="1" s="1"/>
  <c r="J512" i="1"/>
  <c r="N512" i="1" s="1"/>
  <c r="J448" i="1"/>
  <c r="N448" i="1" s="1"/>
  <c r="P448" i="1" s="1"/>
  <c r="Q448" i="1" s="1"/>
  <c r="J384" i="1"/>
  <c r="N384" i="1" s="1"/>
  <c r="P396" i="1"/>
  <c r="Q396" i="1" s="1"/>
  <c r="P986" i="1"/>
  <c r="Q986" i="1" s="1"/>
  <c r="P978" i="1"/>
  <c r="Q978" i="1" s="1"/>
  <c r="J776" i="1"/>
  <c r="N776" i="1" s="1"/>
  <c r="J712" i="1"/>
  <c r="N712" i="1" s="1"/>
  <c r="J648" i="1"/>
  <c r="N648" i="1" s="1"/>
  <c r="J520" i="1"/>
  <c r="N520" i="1" s="1"/>
  <c r="J328" i="1"/>
  <c r="N328" i="1" s="1"/>
  <c r="J344" i="1"/>
  <c r="N344" i="1" s="1"/>
  <c r="L252" i="1"/>
  <c r="M252" i="1" s="1"/>
  <c r="J228" i="1"/>
  <c r="N228" i="1" s="1"/>
  <c r="P228" i="1" s="1"/>
  <c r="Q228" i="1" s="1"/>
  <c r="J164" i="1"/>
  <c r="N164" i="1" s="1"/>
  <c r="J100" i="1"/>
  <c r="N100" i="1" s="1"/>
  <c r="J36" i="1"/>
  <c r="N36" i="1" s="1"/>
  <c r="L196" i="1"/>
  <c r="M196" i="1" s="1"/>
  <c r="L132" i="1"/>
  <c r="M132" i="1" s="1"/>
  <c r="L68" i="1"/>
  <c r="M68" i="1" s="1"/>
  <c r="L4" i="1"/>
  <c r="M4" i="1" s="1"/>
  <c r="J236" i="1"/>
  <c r="N236" i="1" s="1"/>
  <c r="P236" i="1" s="1"/>
  <c r="Q236" i="1" s="1"/>
  <c r="J172" i="1"/>
  <c r="N172" i="1" s="1"/>
  <c r="J108" i="1"/>
  <c r="N108" i="1" s="1"/>
  <c r="J44" i="1"/>
  <c r="N44" i="1" s="1"/>
  <c r="L204" i="1"/>
  <c r="M204" i="1" s="1"/>
  <c r="L140" i="1"/>
  <c r="M140" i="1" s="1"/>
  <c r="L76" i="1"/>
  <c r="M76" i="1" s="1"/>
  <c r="L12" i="1"/>
  <c r="M12" i="1" s="1"/>
  <c r="J244" i="1"/>
  <c r="N244" i="1" s="1"/>
  <c r="J180" i="1"/>
  <c r="N180" i="1" s="1"/>
  <c r="J116" i="1"/>
  <c r="N116" i="1" s="1"/>
  <c r="P116" i="1" s="1"/>
  <c r="Q116" i="1" s="1"/>
  <c r="J52" i="1"/>
  <c r="N52" i="1" s="1"/>
  <c r="L212" i="1"/>
  <c r="M212" i="1" s="1"/>
  <c r="L148" i="1"/>
  <c r="M148" i="1" s="1"/>
  <c r="L84" i="1"/>
  <c r="M84" i="1" s="1"/>
  <c r="L20" i="1"/>
  <c r="M20" i="1" s="1"/>
  <c r="J258" i="1"/>
  <c r="N258" i="1" s="1"/>
  <c r="J250" i="1"/>
  <c r="N250" i="1" s="1"/>
  <c r="J242" i="1"/>
  <c r="N242" i="1" s="1"/>
  <c r="J234" i="1"/>
  <c r="N234" i="1" s="1"/>
  <c r="J226" i="1"/>
  <c r="N226" i="1" s="1"/>
  <c r="J218" i="1"/>
  <c r="N218" i="1" s="1"/>
  <c r="P218" i="1" s="1"/>
  <c r="Q218" i="1" s="1"/>
  <c r="J210" i="1"/>
  <c r="N210" i="1" s="1"/>
  <c r="P210" i="1" s="1"/>
  <c r="Q210" i="1" s="1"/>
  <c r="J202" i="1"/>
  <c r="N202" i="1" s="1"/>
  <c r="P202" i="1" s="1"/>
  <c r="Q202" i="1" s="1"/>
  <c r="J194" i="1"/>
  <c r="N194" i="1" s="1"/>
  <c r="P194" i="1" s="1"/>
  <c r="Q194" i="1" s="1"/>
  <c r="J186" i="1"/>
  <c r="N186" i="1" s="1"/>
  <c r="J178" i="1"/>
  <c r="N178" i="1" s="1"/>
  <c r="J170" i="1"/>
  <c r="N170" i="1" s="1"/>
  <c r="J162" i="1"/>
  <c r="N162" i="1" s="1"/>
  <c r="P162" i="1" s="1"/>
  <c r="Q162" i="1" s="1"/>
  <c r="J154" i="1"/>
  <c r="N154" i="1" s="1"/>
  <c r="P154" i="1" s="1"/>
  <c r="Q154" i="1" s="1"/>
  <c r="J146" i="1"/>
  <c r="N146" i="1" s="1"/>
  <c r="J138" i="1"/>
  <c r="N138" i="1" s="1"/>
  <c r="P138" i="1" s="1"/>
  <c r="Q138" i="1" s="1"/>
  <c r="J130" i="1"/>
  <c r="N130" i="1" s="1"/>
  <c r="P130" i="1" s="1"/>
  <c r="Q130" i="1" s="1"/>
  <c r="J122" i="1"/>
  <c r="N122" i="1" s="1"/>
  <c r="J114" i="1"/>
  <c r="N114" i="1" s="1"/>
  <c r="J106" i="1"/>
  <c r="N106" i="1" s="1"/>
  <c r="J98" i="1"/>
  <c r="N98" i="1" s="1"/>
  <c r="J90" i="1"/>
  <c r="N90" i="1" s="1"/>
  <c r="P90" i="1" s="1"/>
  <c r="Q90" i="1" s="1"/>
  <c r="J82" i="1"/>
  <c r="N82" i="1" s="1"/>
  <c r="P82" i="1" s="1"/>
  <c r="Q82" i="1" s="1"/>
  <c r="J74" i="1"/>
  <c r="N74" i="1" s="1"/>
  <c r="J66" i="1"/>
  <c r="N66" i="1" s="1"/>
  <c r="J58" i="1"/>
  <c r="N58" i="1" s="1"/>
  <c r="J50" i="1"/>
  <c r="N50" i="1" s="1"/>
  <c r="J42" i="1"/>
  <c r="N42" i="1" s="1"/>
  <c r="J34" i="1"/>
  <c r="N34" i="1" s="1"/>
  <c r="P34" i="1" s="1"/>
  <c r="Q34" i="1" s="1"/>
  <c r="J26" i="1"/>
  <c r="N26" i="1" s="1"/>
  <c r="P26" i="1" s="1"/>
  <c r="Q26" i="1" s="1"/>
  <c r="J18" i="1"/>
  <c r="N18" i="1" s="1"/>
  <c r="P18" i="1" s="1"/>
  <c r="Q18" i="1" s="1"/>
  <c r="J10" i="1"/>
  <c r="N10" i="1" s="1"/>
  <c r="P14" i="1"/>
  <c r="Q14" i="1" s="1"/>
  <c r="M954" i="1"/>
  <c r="P954" i="1"/>
  <c r="Q954" i="1" s="1"/>
  <c r="P972" i="1"/>
  <c r="Q972" i="1" s="1"/>
  <c r="P683" i="1"/>
  <c r="Q683" i="1" s="1"/>
  <c r="P524" i="1"/>
  <c r="Q524" i="1" s="1"/>
  <c r="L506" i="1"/>
  <c r="P506" i="1" s="1"/>
  <c r="Q506" i="1" s="1"/>
  <c r="L466" i="1"/>
  <c r="L322" i="1"/>
  <c r="M322" i="1" s="1"/>
  <c r="P971" i="1"/>
  <c r="Q971" i="1" s="1"/>
  <c r="P939" i="1"/>
  <c r="Q939" i="1" s="1"/>
  <c r="P907" i="1"/>
  <c r="Q907" i="1" s="1"/>
  <c r="P875" i="1"/>
  <c r="Q875" i="1" s="1"/>
  <c r="P811" i="1"/>
  <c r="Q811" i="1" s="1"/>
  <c r="L802" i="1"/>
  <c r="M802" i="1" s="1"/>
  <c r="J802" i="1"/>
  <c r="N802" i="1" s="1"/>
  <c r="J794" i="1"/>
  <c r="N794" i="1" s="1"/>
  <c r="L794" i="1"/>
  <c r="M794" i="1" s="1"/>
  <c r="L770" i="1"/>
  <c r="J770" i="1"/>
  <c r="N770" i="1" s="1"/>
  <c r="J762" i="1"/>
  <c r="N762" i="1" s="1"/>
  <c r="P762" i="1" s="1"/>
  <c r="Q762" i="1" s="1"/>
  <c r="L762" i="1"/>
  <c r="L738" i="1"/>
  <c r="P738" i="1" s="1"/>
  <c r="Q738" i="1" s="1"/>
  <c r="J738" i="1"/>
  <c r="N738" i="1" s="1"/>
  <c r="J730" i="1"/>
  <c r="N730" i="1" s="1"/>
  <c r="L730" i="1"/>
  <c r="L706" i="1"/>
  <c r="J706" i="1"/>
  <c r="N706" i="1" s="1"/>
  <c r="J698" i="1"/>
  <c r="N698" i="1" s="1"/>
  <c r="L698" i="1"/>
  <c r="L674" i="1"/>
  <c r="P674" i="1" s="1"/>
  <c r="Q674" i="1" s="1"/>
  <c r="J674" i="1"/>
  <c r="N674" i="1" s="1"/>
  <c r="J666" i="1"/>
  <c r="N666" i="1" s="1"/>
  <c r="L666" i="1"/>
  <c r="L642" i="1"/>
  <c r="J642" i="1"/>
  <c r="N642" i="1" s="1"/>
  <c r="J634" i="1"/>
  <c r="N634" i="1" s="1"/>
  <c r="L634" i="1"/>
  <c r="P634" i="1" s="1"/>
  <c r="Q634" i="1" s="1"/>
  <c r="L610" i="1"/>
  <c r="M610" i="1" s="1"/>
  <c r="J610" i="1"/>
  <c r="N610" i="1" s="1"/>
  <c r="J602" i="1"/>
  <c r="N602" i="1" s="1"/>
  <c r="L602" i="1"/>
  <c r="P602" i="1" s="1"/>
  <c r="Q602" i="1" s="1"/>
  <c r="L554" i="1"/>
  <c r="J554" i="1"/>
  <c r="N554" i="1" s="1"/>
  <c r="J546" i="1"/>
  <c r="N546" i="1" s="1"/>
  <c r="P546" i="1" s="1"/>
  <c r="Q546" i="1" s="1"/>
  <c r="L546" i="1"/>
  <c r="M546" i="1" s="1"/>
  <c r="J538" i="1"/>
  <c r="N538" i="1" s="1"/>
  <c r="P538" i="1" s="1"/>
  <c r="Q538" i="1" s="1"/>
  <c r="L538" i="1"/>
  <c r="L490" i="1"/>
  <c r="M490" i="1" s="1"/>
  <c r="J490" i="1"/>
  <c r="N490" i="1" s="1"/>
  <c r="J482" i="1"/>
  <c r="N482" i="1" s="1"/>
  <c r="L482" i="1"/>
  <c r="P482" i="1" s="1"/>
  <c r="Q482" i="1" s="1"/>
  <c r="J474" i="1"/>
  <c r="N474" i="1" s="1"/>
  <c r="L474" i="1"/>
  <c r="L426" i="1"/>
  <c r="P426" i="1" s="1"/>
  <c r="Q426" i="1" s="1"/>
  <c r="J426" i="1"/>
  <c r="N426" i="1" s="1"/>
  <c r="J418" i="1"/>
  <c r="N418" i="1" s="1"/>
  <c r="L418" i="1"/>
  <c r="J410" i="1"/>
  <c r="N410" i="1" s="1"/>
  <c r="L410" i="1"/>
  <c r="P410" i="1" s="1"/>
  <c r="Q410" i="1" s="1"/>
  <c r="L362" i="1"/>
  <c r="P362" i="1" s="1"/>
  <c r="Q362" i="1" s="1"/>
  <c r="J362" i="1"/>
  <c r="N362" i="1" s="1"/>
  <c r="J354" i="1"/>
  <c r="N354" i="1" s="1"/>
  <c r="P354" i="1" s="1"/>
  <c r="Q354" i="1" s="1"/>
  <c r="L354" i="1"/>
  <c r="J346" i="1"/>
  <c r="N346" i="1" s="1"/>
  <c r="L346" i="1"/>
  <c r="M346" i="1" s="1"/>
  <c r="L298" i="1"/>
  <c r="J298" i="1"/>
  <c r="N298" i="1" s="1"/>
  <c r="J290" i="1"/>
  <c r="N290" i="1" s="1"/>
  <c r="P290" i="1" s="1"/>
  <c r="Q290" i="1" s="1"/>
  <c r="L290" i="1"/>
  <c r="J282" i="1"/>
  <c r="N282" i="1" s="1"/>
  <c r="P282" i="1" s="1"/>
  <c r="Q282" i="1" s="1"/>
  <c r="L282" i="1"/>
  <c r="P980" i="1"/>
  <c r="Q980" i="1" s="1"/>
  <c r="P571" i="1"/>
  <c r="Q571" i="1" s="1"/>
  <c r="P387" i="1"/>
  <c r="Q387" i="1" s="1"/>
  <c r="M387" i="1"/>
  <c r="P619" i="1"/>
  <c r="Q619" i="1" s="1"/>
  <c r="P747" i="1"/>
  <c r="Q747" i="1" s="1"/>
  <c r="P987" i="1"/>
  <c r="Q987" i="1" s="1"/>
  <c r="P955" i="1"/>
  <c r="Q955" i="1" s="1"/>
  <c r="P923" i="1"/>
  <c r="Q923" i="1" s="1"/>
  <c r="P891" i="1"/>
  <c r="Q891" i="1" s="1"/>
  <c r="L746" i="1"/>
  <c r="P746" i="1" s="1"/>
  <c r="Q746" i="1" s="1"/>
  <c r="L722" i="1"/>
  <c r="P699" i="1"/>
  <c r="Q699" i="1" s="1"/>
  <c r="L618" i="1"/>
  <c r="M618" i="1" s="1"/>
  <c r="L586" i="1"/>
  <c r="P586" i="1" s="1"/>
  <c r="Q586" i="1" s="1"/>
  <c r="P460" i="1"/>
  <c r="Q460" i="1" s="1"/>
  <c r="M460" i="1"/>
  <c r="L442" i="1"/>
  <c r="P442" i="1" s="1"/>
  <c r="Q442" i="1" s="1"/>
  <c r="L402" i="1"/>
  <c r="P996" i="1"/>
  <c r="Q996" i="1" s="1"/>
  <c r="P859" i="1"/>
  <c r="Q859" i="1" s="1"/>
  <c r="P779" i="1"/>
  <c r="Q779" i="1" s="1"/>
  <c r="P651" i="1"/>
  <c r="Q651" i="1" s="1"/>
  <c r="L594" i="1"/>
  <c r="L450" i="1"/>
  <c r="M450" i="1" s="1"/>
  <c r="L306" i="1"/>
  <c r="M306" i="1" s="1"/>
  <c r="P521" i="1"/>
  <c r="Q521" i="1" s="1"/>
  <c r="P995" i="1"/>
  <c r="Q995" i="1" s="1"/>
  <c r="L778" i="1"/>
  <c r="P778" i="1" s="1"/>
  <c r="Q778" i="1" s="1"/>
  <c r="L754" i="1"/>
  <c r="M754" i="1" s="1"/>
  <c r="P731" i="1"/>
  <c r="Q731" i="1" s="1"/>
  <c r="L650" i="1"/>
  <c r="M650" i="1" s="1"/>
  <c r="L626" i="1"/>
  <c r="P626" i="1" s="1"/>
  <c r="Q626" i="1" s="1"/>
  <c r="P603" i="1"/>
  <c r="Q603" i="1" s="1"/>
  <c r="L498" i="1"/>
  <c r="P498" i="1" s="1"/>
  <c r="Q498" i="1" s="1"/>
  <c r="L458" i="1"/>
  <c r="P323" i="1"/>
  <c r="Q323" i="1" s="1"/>
  <c r="M323" i="1"/>
  <c r="L314" i="1"/>
  <c r="M314" i="1" s="1"/>
  <c r="L274" i="1"/>
  <c r="M274" i="1" s="1"/>
  <c r="P843" i="1"/>
  <c r="Q843" i="1" s="1"/>
  <c r="P555" i="1"/>
  <c r="Q555" i="1" s="1"/>
  <c r="P500" i="1"/>
  <c r="Q500" i="1" s="1"/>
  <c r="P427" i="1"/>
  <c r="Q427" i="1" s="1"/>
  <c r="P372" i="1"/>
  <c r="Q372" i="1" s="1"/>
  <c r="P533" i="1"/>
  <c r="Q533" i="1" s="1"/>
  <c r="P469" i="1"/>
  <c r="Q469" i="1" s="1"/>
  <c r="P461" i="1"/>
  <c r="Q461" i="1" s="1"/>
  <c r="P405" i="1"/>
  <c r="Q405" i="1" s="1"/>
  <c r="P341" i="1"/>
  <c r="Q341" i="1" s="1"/>
  <c r="P333" i="1"/>
  <c r="Q333" i="1" s="1"/>
  <c r="P317" i="1"/>
  <c r="Q317" i="1" s="1"/>
  <c r="P277" i="1"/>
  <c r="Q277" i="1" s="1"/>
  <c r="P997" i="1"/>
  <c r="Q997" i="1" s="1"/>
  <c r="M997" i="1"/>
  <c r="P925" i="1"/>
  <c r="Q925" i="1" s="1"/>
  <c r="M925" i="1"/>
  <c r="P893" i="1"/>
  <c r="Q893" i="1" s="1"/>
  <c r="M893" i="1"/>
  <c r="P837" i="1"/>
  <c r="Q837" i="1" s="1"/>
  <c r="M837" i="1"/>
  <c r="P805" i="1"/>
  <c r="Q805" i="1" s="1"/>
  <c r="M805" i="1"/>
  <c r="P757" i="1"/>
  <c r="Q757" i="1" s="1"/>
  <c r="P709" i="1"/>
  <c r="Q709" i="1" s="1"/>
  <c r="M709" i="1"/>
  <c r="P669" i="1"/>
  <c r="Q669" i="1" s="1"/>
  <c r="M669" i="1"/>
  <c r="P629" i="1"/>
  <c r="Q629" i="1" s="1"/>
  <c r="M629" i="1"/>
  <c r="P581" i="1"/>
  <c r="Q581" i="1" s="1"/>
  <c r="P541" i="1"/>
  <c r="Q541" i="1" s="1"/>
  <c r="M541" i="1"/>
  <c r="P501" i="1"/>
  <c r="Q501" i="1" s="1"/>
  <c r="M501" i="1"/>
  <c r="P421" i="1"/>
  <c r="Q421" i="1" s="1"/>
  <c r="M421" i="1"/>
  <c r="P357" i="1"/>
  <c r="Q357" i="1" s="1"/>
  <c r="M357" i="1"/>
  <c r="P349" i="1"/>
  <c r="Q349" i="1" s="1"/>
  <c r="M349" i="1"/>
  <c r="P309" i="1"/>
  <c r="Q309" i="1" s="1"/>
  <c r="M309" i="1"/>
  <c r="P269" i="1"/>
  <c r="Q269" i="1" s="1"/>
  <c r="M269" i="1"/>
  <c r="P946" i="1"/>
  <c r="Q946" i="1" s="1"/>
  <c r="M946" i="1"/>
  <c r="P906" i="1"/>
  <c r="Q906" i="1" s="1"/>
  <c r="M906" i="1"/>
  <c r="P866" i="1"/>
  <c r="Q866" i="1" s="1"/>
  <c r="M866" i="1"/>
  <c r="M762" i="1"/>
  <c r="P1006" i="1"/>
  <c r="Q1006" i="1" s="1"/>
  <c r="P998" i="1"/>
  <c r="Q998" i="1" s="1"/>
  <c r="M998" i="1"/>
  <c r="P990" i="1"/>
  <c r="Q990" i="1" s="1"/>
  <c r="P982" i="1"/>
  <c r="Q982" i="1" s="1"/>
  <c r="P974" i="1"/>
  <c r="Q974" i="1" s="1"/>
  <c r="M974" i="1"/>
  <c r="P966" i="1"/>
  <c r="Q966" i="1" s="1"/>
  <c r="M966" i="1"/>
  <c r="P958" i="1"/>
  <c r="Q958" i="1" s="1"/>
  <c r="M958" i="1"/>
  <c r="P950" i="1"/>
  <c r="Q950" i="1" s="1"/>
  <c r="M950" i="1"/>
  <c r="P942" i="1"/>
  <c r="Q942" i="1" s="1"/>
  <c r="M942" i="1"/>
  <c r="P934" i="1"/>
  <c r="Q934" i="1" s="1"/>
  <c r="M934" i="1"/>
  <c r="P926" i="1"/>
  <c r="Q926" i="1" s="1"/>
  <c r="M926" i="1"/>
  <c r="P918" i="1"/>
  <c r="Q918" i="1" s="1"/>
  <c r="M918" i="1"/>
  <c r="P910" i="1"/>
  <c r="Q910" i="1" s="1"/>
  <c r="M910" i="1"/>
  <c r="P902" i="1"/>
  <c r="Q902" i="1" s="1"/>
  <c r="M902" i="1"/>
  <c r="P894" i="1"/>
  <c r="Q894" i="1" s="1"/>
  <c r="M894" i="1"/>
  <c r="P886" i="1"/>
  <c r="Q886" i="1" s="1"/>
  <c r="M886" i="1"/>
  <c r="P878" i="1"/>
  <c r="Q878" i="1" s="1"/>
  <c r="M878" i="1"/>
  <c r="P870" i="1"/>
  <c r="Q870" i="1" s="1"/>
  <c r="M870" i="1"/>
  <c r="P862" i="1"/>
  <c r="Q862" i="1" s="1"/>
  <c r="M862" i="1"/>
  <c r="P854" i="1"/>
  <c r="Q854" i="1" s="1"/>
  <c r="M854" i="1"/>
  <c r="P846" i="1"/>
  <c r="Q846" i="1" s="1"/>
  <c r="M846" i="1"/>
  <c r="P838" i="1"/>
  <c r="Q838" i="1" s="1"/>
  <c r="M838" i="1"/>
  <c r="P830" i="1"/>
  <c r="Q830" i="1" s="1"/>
  <c r="M830" i="1"/>
  <c r="P822" i="1"/>
  <c r="Q822" i="1" s="1"/>
  <c r="M822" i="1"/>
  <c r="P814" i="1"/>
  <c r="Q814" i="1" s="1"/>
  <c r="M814" i="1"/>
  <c r="P806" i="1"/>
  <c r="Q806" i="1" s="1"/>
  <c r="M806" i="1"/>
  <c r="P798" i="1"/>
  <c r="Q798" i="1" s="1"/>
  <c r="M798" i="1"/>
  <c r="P790" i="1"/>
  <c r="Q790" i="1" s="1"/>
  <c r="M790" i="1"/>
  <c r="P782" i="1"/>
  <c r="Q782" i="1" s="1"/>
  <c r="M782" i="1"/>
  <c r="P774" i="1"/>
  <c r="Q774" i="1" s="1"/>
  <c r="M774" i="1"/>
  <c r="P766" i="1"/>
  <c r="Q766" i="1" s="1"/>
  <c r="M766" i="1"/>
  <c r="P758" i="1"/>
  <c r="Q758" i="1" s="1"/>
  <c r="M758" i="1"/>
  <c r="P750" i="1"/>
  <c r="Q750" i="1" s="1"/>
  <c r="M750" i="1"/>
  <c r="P742" i="1"/>
  <c r="Q742" i="1" s="1"/>
  <c r="M742" i="1"/>
  <c r="P734" i="1"/>
  <c r="Q734" i="1" s="1"/>
  <c r="M734" i="1"/>
  <c r="P726" i="1"/>
  <c r="Q726" i="1" s="1"/>
  <c r="M726" i="1"/>
  <c r="P718" i="1"/>
  <c r="Q718" i="1" s="1"/>
  <c r="M718" i="1"/>
  <c r="P710" i="1"/>
  <c r="Q710" i="1" s="1"/>
  <c r="M710" i="1"/>
  <c r="P702" i="1"/>
  <c r="Q702" i="1" s="1"/>
  <c r="M702" i="1"/>
  <c r="M694" i="1"/>
  <c r="P694" i="1"/>
  <c r="Q694" i="1" s="1"/>
  <c r="P686" i="1"/>
  <c r="Q686" i="1" s="1"/>
  <c r="M686" i="1"/>
  <c r="P678" i="1"/>
  <c r="Q678" i="1" s="1"/>
  <c r="M678" i="1"/>
  <c r="P670" i="1"/>
  <c r="Q670" i="1" s="1"/>
  <c r="M670" i="1"/>
  <c r="P662" i="1"/>
  <c r="Q662" i="1" s="1"/>
  <c r="M662" i="1"/>
  <c r="P654" i="1"/>
  <c r="Q654" i="1" s="1"/>
  <c r="M654" i="1"/>
  <c r="P646" i="1"/>
  <c r="Q646" i="1" s="1"/>
  <c r="M646" i="1"/>
  <c r="P630" i="1"/>
  <c r="Q630" i="1" s="1"/>
  <c r="M630" i="1"/>
  <c r="P622" i="1"/>
  <c r="Q622" i="1" s="1"/>
  <c r="M622" i="1"/>
  <c r="P614" i="1"/>
  <c r="Q614" i="1" s="1"/>
  <c r="M614" i="1"/>
  <c r="P606" i="1"/>
  <c r="Q606" i="1" s="1"/>
  <c r="M606" i="1"/>
  <c r="P598" i="1"/>
  <c r="Q598" i="1" s="1"/>
  <c r="M598" i="1"/>
  <c r="P590" i="1"/>
  <c r="Q590" i="1" s="1"/>
  <c r="M590" i="1"/>
  <c r="M582" i="1"/>
  <c r="P582" i="1"/>
  <c r="Q582" i="1" s="1"/>
  <c r="P574" i="1"/>
  <c r="Q574" i="1" s="1"/>
  <c r="M574" i="1"/>
  <c r="M566" i="1"/>
  <c r="P566" i="1"/>
  <c r="Q566" i="1" s="1"/>
  <c r="P558" i="1"/>
  <c r="Q558" i="1" s="1"/>
  <c r="M558" i="1"/>
  <c r="M550" i="1"/>
  <c r="P550" i="1"/>
  <c r="Q550" i="1" s="1"/>
  <c r="P542" i="1"/>
  <c r="Q542" i="1" s="1"/>
  <c r="P534" i="1"/>
  <c r="Q534" i="1" s="1"/>
  <c r="P526" i="1"/>
  <c r="Q526" i="1" s="1"/>
  <c r="M526" i="1"/>
  <c r="P518" i="1"/>
  <c r="Q518" i="1" s="1"/>
  <c r="P510" i="1"/>
  <c r="Q510" i="1" s="1"/>
  <c r="M510" i="1"/>
  <c r="M502" i="1"/>
  <c r="P502" i="1"/>
  <c r="Q502" i="1" s="1"/>
  <c r="P494" i="1"/>
  <c r="Q494" i="1" s="1"/>
  <c r="M494" i="1"/>
  <c r="M486" i="1"/>
  <c r="P486" i="1"/>
  <c r="Q486" i="1" s="1"/>
  <c r="P478" i="1"/>
  <c r="Q478" i="1" s="1"/>
  <c r="P470" i="1"/>
  <c r="Q470" i="1" s="1"/>
  <c r="M470" i="1"/>
  <c r="P462" i="1"/>
  <c r="Q462" i="1" s="1"/>
  <c r="M462" i="1"/>
  <c r="P454" i="1"/>
  <c r="Q454" i="1" s="1"/>
  <c r="M454" i="1"/>
  <c r="P446" i="1"/>
  <c r="Q446" i="1" s="1"/>
  <c r="M446" i="1"/>
  <c r="P438" i="1"/>
  <c r="Q438" i="1" s="1"/>
  <c r="M438" i="1"/>
  <c r="M430" i="1"/>
  <c r="P430" i="1"/>
  <c r="Q430" i="1" s="1"/>
  <c r="P422" i="1"/>
  <c r="Q422" i="1" s="1"/>
  <c r="M422" i="1"/>
  <c r="P414" i="1"/>
  <c r="Q414" i="1" s="1"/>
  <c r="P406" i="1"/>
  <c r="Q406" i="1" s="1"/>
  <c r="P398" i="1"/>
  <c r="Q398" i="1" s="1"/>
  <c r="M398" i="1"/>
  <c r="P390" i="1"/>
  <c r="Q390" i="1" s="1"/>
  <c r="P382" i="1"/>
  <c r="Q382" i="1" s="1"/>
  <c r="M382" i="1"/>
  <c r="M996" i="1"/>
  <c r="M978" i="1"/>
  <c r="M534" i="1"/>
  <c r="M498" i="1"/>
  <c r="M461" i="1"/>
  <c r="M388" i="1"/>
  <c r="P611" i="1"/>
  <c r="Q611" i="1" s="1"/>
  <c r="P957" i="1"/>
  <c r="Q957" i="1" s="1"/>
  <c r="M957" i="1"/>
  <c r="P853" i="1"/>
  <c r="Q853" i="1" s="1"/>
  <c r="M853" i="1"/>
  <c r="P741" i="1"/>
  <c r="Q741" i="1" s="1"/>
  <c r="M741" i="1"/>
  <c r="P621" i="1"/>
  <c r="Q621" i="1" s="1"/>
  <c r="M621" i="1"/>
  <c r="P397" i="1"/>
  <c r="Q397" i="1" s="1"/>
  <c r="M397" i="1"/>
  <c r="P301" i="1"/>
  <c r="Q301" i="1" s="1"/>
  <c r="M301" i="1"/>
  <c r="M277" i="1"/>
  <c r="P1004" i="1"/>
  <c r="Q1004" i="1" s="1"/>
  <c r="P988" i="1"/>
  <c r="Q988" i="1" s="1"/>
  <c r="M988" i="1"/>
  <c r="P964" i="1"/>
  <c r="Q964" i="1" s="1"/>
  <c r="M964" i="1"/>
  <c r="P956" i="1"/>
  <c r="Q956" i="1" s="1"/>
  <c r="M956" i="1"/>
  <c r="P948" i="1"/>
  <c r="Q948" i="1" s="1"/>
  <c r="M948" i="1"/>
  <c r="P940" i="1"/>
  <c r="Q940" i="1" s="1"/>
  <c r="M940" i="1"/>
  <c r="P932" i="1"/>
  <c r="Q932" i="1" s="1"/>
  <c r="M932" i="1"/>
  <c r="P924" i="1"/>
  <c r="Q924" i="1" s="1"/>
  <c r="M924" i="1"/>
  <c r="P916" i="1"/>
  <c r="Q916" i="1" s="1"/>
  <c r="M916" i="1"/>
  <c r="P908" i="1"/>
  <c r="Q908" i="1" s="1"/>
  <c r="M908" i="1"/>
  <c r="P900" i="1"/>
  <c r="Q900" i="1" s="1"/>
  <c r="M900" i="1"/>
  <c r="P892" i="1"/>
  <c r="Q892" i="1" s="1"/>
  <c r="M892" i="1"/>
  <c r="P884" i="1"/>
  <c r="Q884" i="1" s="1"/>
  <c r="M884" i="1"/>
  <c r="P876" i="1"/>
  <c r="Q876" i="1" s="1"/>
  <c r="M876" i="1"/>
  <c r="P868" i="1"/>
  <c r="Q868" i="1" s="1"/>
  <c r="M868" i="1"/>
  <c r="P860" i="1"/>
  <c r="Q860" i="1" s="1"/>
  <c r="M860" i="1"/>
  <c r="P852" i="1"/>
  <c r="Q852" i="1" s="1"/>
  <c r="M852" i="1"/>
  <c r="P844" i="1"/>
  <c r="Q844" i="1" s="1"/>
  <c r="M844" i="1"/>
  <c r="P836" i="1"/>
  <c r="Q836" i="1" s="1"/>
  <c r="M836" i="1"/>
  <c r="P828" i="1"/>
  <c r="Q828" i="1" s="1"/>
  <c r="M828" i="1"/>
  <c r="P820" i="1"/>
  <c r="Q820" i="1" s="1"/>
  <c r="M820" i="1"/>
  <c r="P812" i="1"/>
  <c r="Q812" i="1" s="1"/>
  <c r="M812" i="1"/>
  <c r="P804" i="1"/>
  <c r="Q804" i="1" s="1"/>
  <c r="M804" i="1"/>
  <c r="P796" i="1"/>
  <c r="Q796" i="1" s="1"/>
  <c r="M796" i="1"/>
  <c r="P788" i="1"/>
  <c r="Q788" i="1" s="1"/>
  <c r="M788" i="1"/>
  <c r="P772" i="1"/>
  <c r="Q772" i="1" s="1"/>
  <c r="M772" i="1"/>
  <c r="P764" i="1"/>
  <c r="Q764" i="1" s="1"/>
  <c r="M764" i="1"/>
  <c r="P756" i="1"/>
  <c r="Q756" i="1" s="1"/>
  <c r="M756" i="1"/>
  <c r="P748" i="1"/>
  <c r="Q748" i="1" s="1"/>
  <c r="M748" i="1"/>
  <c r="P740" i="1"/>
  <c r="Q740" i="1" s="1"/>
  <c r="M740" i="1"/>
  <c r="P732" i="1"/>
  <c r="Q732" i="1" s="1"/>
  <c r="M732" i="1"/>
  <c r="P724" i="1"/>
  <c r="Q724" i="1" s="1"/>
  <c r="M724" i="1"/>
  <c r="P716" i="1"/>
  <c r="Q716" i="1" s="1"/>
  <c r="M716" i="1"/>
  <c r="P708" i="1"/>
  <c r="Q708" i="1" s="1"/>
  <c r="M708" i="1"/>
  <c r="P700" i="1"/>
  <c r="Q700" i="1" s="1"/>
  <c r="M700" i="1"/>
  <c r="P692" i="1"/>
  <c r="Q692" i="1" s="1"/>
  <c r="M692" i="1"/>
  <c r="P684" i="1"/>
  <c r="Q684" i="1" s="1"/>
  <c r="M684" i="1"/>
  <c r="P676" i="1"/>
  <c r="Q676" i="1" s="1"/>
  <c r="M676" i="1"/>
  <c r="M668" i="1"/>
  <c r="P668" i="1"/>
  <c r="Q668" i="1" s="1"/>
  <c r="P660" i="1"/>
  <c r="Q660" i="1" s="1"/>
  <c r="M660" i="1"/>
  <c r="P652" i="1"/>
  <c r="Q652" i="1" s="1"/>
  <c r="M652" i="1"/>
  <c r="M644" i="1"/>
  <c r="P636" i="1"/>
  <c r="Q636" i="1" s="1"/>
  <c r="M636" i="1"/>
  <c r="P628" i="1"/>
  <c r="Q628" i="1" s="1"/>
  <c r="M628" i="1"/>
  <c r="P620" i="1"/>
  <c r="Q620" i="1" s="1"/>
  <c r="M620" i="1"/>
  <c r="P612" i="1"/>
  <c r="Q612" i="1" s="1"/>
  <c r="M612" i="1"/>
  <c r="P604" i="1"/>
  <c r="Q604" i="1" s="1"/>
  <c r="M604" i="1"/>
  <c r="P596" i="1"/>
  <c r="Q596" i="1" s="1"/>
  <c r="M596" i="1"/>
  <c r="P588" i="1"/>
  <c r="Q588" i="1" s="1"/>
  <c r="M588" i="1"/>
  <c r="P580" i="1"/>
  <c r="Q580" i="1" s="1"/>
  <c r="M580" i="1"/>
  <c r="P572" i="1"/>
  <c r="Q572" i="1" s="1"/>
  <c r="M572" i="1"/>
  <c r="P564" i="1"/>
  <c r="Q564" i="1" s="1"/>
  <c r="M564" i="1"/>
  <c r="P556" i="1"/>
  <c r="Q556" i="1" s="1"/>
  <c r="M556" i="1"/>
  <c r="M548" i="1"/>
  <c r="P548" i="1"/>
  <c r="Q548" i="1" s="1"/>
  <c r="P540" i="1"/>
  <c r="Q540" i="1" s="1"/>
  <c r="M540" i="1"/>
  <c r="P532" i="1"/>
  <c r="Q532" i="1" s="1"/>
  <c r="M532" i="1"/>
  <c r="P508" i="1"/>
  <c r="Q508" i="1" s="1"/>
  <c r="M508" i="1"/>
  <c r="M492" i="1"/>
  <c r="P492" i="1"/>
  <c r="Q492" i="1" s="1"/>
  <c r="P484" i="1"/>
  <c r="Q484" i="1" s="1"/>
  <c r="M484" i="1"/>
  <c r="P476" i="1"/>
  <c r="Q476" i="1" s="1"/>
  <c r="M476" i="1"/>
  <c r="P468" i="1"/>
  <c r="Q468" i="1" s="1"/>
  <c r="M468" i="1"/>
  <c r="P452" i="1"/>
  <c r="Q452" i="1" s="1"/>
  <c r="M452" i="1"/>
  <c r="P444" i="1"/>
  <c r="Q444" i="1" s="1"/>
  <c r="M444" i="1"/>
  <c r="P436" i="1"/>
  <c r="Q436" i="1" s="1"/>
  <c r="M436" i="1"/>
  <c r="P428" i="1"/>
  <c r="Q428" i="1" s="1"/>
  <c r="M428" i="1"/>
  <c r="M420" i="1"/>
  <c r="P420" i="1"/>
  <c r="Q420" i="1" s="1"/>
  <c r="P412" i="1"/>
  <c r="Q412" i="1" s="1"/>
  <c r="M412" i="1"/>
  <c r="M404" i="1"/>
  <c r="P404" i="1"/>
  <c r="Q404" i="1" s="1"/>
  <c r="P380" i="1"/>
  <c r="Q380" i="1" s="1"/>
  <c r="M380" i="1"/>
  <c r="P364" i="1"/>
  <c r="Q364" i="1" s="1"/>
  <c r="M364" i="1"/>
  <c r="P356" i="1"/>
  <c r="Q356" i="1" s="1"/>
  <c r="M356" i="1"/>
  <c r="P348" i="1"/>
  <c r="Q348" i="1" s="1"/>
  <c r="M348" i="1"/>
  <c r="P340" i="1"/>
  <c r="Q340" i="1" s="1"/>
  <c r="M340" i="1"/>
  <c r="P324" i="1"/>
  <c r="Q324" i="1" s="1"/>
  <c r="M324" i="1"/>
  <c r="P316" i="1"/>
  <c r="Q316" i="1" s="1"/>
  <c r="M316" i="1"/>
  <c r="P308" i="1"/>
  <c r="Q308" i="1" s="1"/>
  <c r="M308" i="1"/>
  <c r="P300" i="1"/>
  <c r="Q300" i="1" s="1"/>
  <c r="M300" i="1"/>
  <c r="P292" i="1"/>
  <c r="Q292" i="1" s="1"/>
  <c r="M292" i="1"/>
  <c r="P284" i="1"/>
  <c r="Q284" i="1" s="1"/>
  <c r="M284" i="1"/>
  <c r="P276" i="1"/>
  <c r="Q276" i="1" s="1"/>
  <c r="M276" i="1"/>
  <c r="M972" i="1"/>
  <c r="M524" i="1"/>
  <c r="M451" i="1"/>
  <c r="M341" i="1"/>
  <c r="M268" i="1"/>
  <c r="P930" i="1"/>
  <c r="Q930" i="1" s="1"/>
  <c r="P493" i="1"/>
  <c r="Q493" i="1" s="1"/>
  <c r="P973" i="1"/>
  <c r="Q973" i="1" s="1"/>
  <c r="M973" i="1"/>
  <c r="P885" i="1"/>
  <c r="Q885" i="1" s="1"/>
  <c r="M885" i="1"/>
  <c r="P789" i="1"/>
  <c r="Q789" i="1" s="1"/>
  <c r="M789" i="1"/>
  <c r="P685" i="1"/>
  <c r="Q685" i="1" s="1"/>
  <c r="M685" i="1"/>
  <c r="P437" i="1"/>
  <c r="Q437" i="1" s="1"/>
  <c r="M437" i="1"/>
  <c r="M325" i="1"/>
  <c r="P325" i="1"/>
  <c r="Q325" i="1" s="1"/>
  <c r="P979" i="1"/>
  <c r="Q979" i="1" s="1"/>
  <c r="M979" i="1"/>
  <c r="P963" i="1"/>
  <c r="Q963" i="1" s="1"/>
  <c r="M963" i="1"/>
  <c r="P947" i="1"/>
  <c r="Q947" i="1" s="1"/>
  <c r="M947" i="1"/>
  <c r="P931" i="1"/>
  <c r="Q931" i="1" s="1"/>
  <c r="M931" i="1"/>
  <c r="P915" i="1"/>
  <c r="Q915" i="1" s="1"/>
  <c r="M915" i="1"/>
  <c r="P899" i="1"/>
  <c r="Q899" i="1" s="1"/>
  <c r="M899" i="1"/>
  <c r="P883" i="1"/>
  <c r="Q883" i="1" s="1"/>
  <c r="M883" i="1"/>
  <c r="P867" i="1"/>
  <c r="Q867" i="1" s="1"/>
  <c r="M867" i="1"/>
  <c r="P835" i="1"/>
  <c r="Q835" i="1" s="1"/>
  <c r="M835" i="1"/>
  <c r="P819" i="1"/>
  <c r="Q819" i="1" s="1"/>
  <c r="M819" i="1"/>
  <c r="P803" i="1"/>
  <c r="Q803" i="1" s="1"/>
  <c r="M803" i="1"/>
  <c r="P787" i="1"/>
  <c r="Q787" i="1" s="1"/>
  <c r="M787" i="1"/>
  <c r="P771" i="1"/>
  <c r="Q771" i="1" s="1"/>
  <c r="M771" i="1"/>
  <c r="P755" i="1"/>
  <c r="Q755" i="1" s="1"/>
  <c r="M755" i="1"/>
  <c r="P739" i="1"/>
  <c r="Q739" i="1" s="1"/>
  <c r="M739" i="1"/>
  <c r="M723" i="1"/>
  <c r="P723" i="1"/>
  <c r="Q723" i="1" s="1"/>
  <c r="P707" i="1"/>
  <c r="Q707" i="1" s="1"/>
  <c r="M707" i="1"/>
  <c r="P691" i="1"/>
  <c r="Q691" i="1" s="1"/>
  <c r="M691" i="1"/>
  <c r="P675" i="1"/>
  <c r="Q675" i="1" s="1"/>
  <c r="M675" i="1"/>
  <c r="P659" i="1"/>
  <c r="Q659" i="1" s="1"/>
  <c r="M659" i="1"/>
  <c r="P643" i="1"/>
  <c r="Q643" i="1" s="1"/>
  <c r="M643" i="1"/>
  <c r="P627" i="1"/>
  <c r="Q627" i="1" s="1"/>
  <c r="M627" i="1"/>
  <c r="P595" i="1"/>
  <c r="Q595" i="1" s="1"/>
  <c r="M595" i="1"/>
  <c r="P579" i="1"/>
  <c r="Q579" i="1" s="1"/>
  <c r="M579" i="1"/>
  <c r="P563" i="1"/>
  <c r="Q563" i="1" s="1"/>
  <c r="M563" i="1"/>
  <c r="P547" i="1"/>
  <c r="Q547" i="1" s="1"/>
  <c r="M547" i="1"/>
  <c r="P539" i="1"/>
  <c r="Q539" i="1" s="1"/>
  <c r="M539" i="1"/>
  <c r="M531" i="1"/>
  <c r="P531" i="1"/>
  <c r="Q531" i="1" s="1"/>
  <c r="P523" i="1"/>
  <c r="Q523" i="1" s="1"/>
  <c r="M523" i="1"/>
  <c r="P507" i="1"/>
  <c r="Q507" i="1" s="1"/>
  <c r="M507" i="1"/>
  <c r="P499" i="1"/>
  <c r="Q499" i="1" s="1"/>
  <c r="M499" i="1"/>
  <c r="P491" i="1"/>
  <c r="Q491" i="1" s="1"/>
  <c r="M491" i="1"/>
  <c r="P483" i="1"/>
  <c r="Q483" i="1" s="1"/>
  <c r="M483" i="1"/>
  <c r="P475" i="1"/>
  <c r="Q475" i="1" s="1"/>
  <c r="M475" i="1"/>
  <c r="P467" i="1"/>
  <c r="Q467" i="1" s="1"/>
  <c r="M467" i="1"/>
  <c r="M459" i="1"/>
  <c r="P459" i="1"/>
  <c r="Q459" i="1" s="1"/>
  <c r="P435" i="1"/>
  <c r="Q435" i="1" s="1"/>
  <c r="M435" i="1"/>
  <c r="P419" i="1"/>
  <c r="Q419" i="1" s="1"/>
  <c r="M419" i="1"/>
  <c r="P411" i="1"/>
  <c r="Q411" i="1" s="1"/>
  <c r="M411" i="1"/>
  <c r="P395" i="1"/>
  <c r="Q395" i="1" s="1"/>
  <c r="M395" i="1"/>
  <c r="M990" i="1"/>
  <c r="M971" i="1"/>
  <c r="M939" i="1"/>
  <c r="M907" i="1"/>
  <c r="M875" i="1"/>
  <c r="M843" i="1"/>
  <c r="M811" i="1"/>
  <c r="M779" i="1"/>
  <c r="M747" i="1"/>
  <c r="M715" i="1"/>
  <c r="M683" i="1"/>
  <c r="M651" i="1"/>
  <c r="M619" i="1"/>
  <c r="M587" i="1"/>
  <c r="M555" i="1"/>
  <c r="M518" i="1"/>
  <c r="M372" i="1"/>
  <c r="P851" i="1"/>
  <c r="Q851" i="1" s="1"/>
  <c r="P403" i="1"/>
  <c r="Q403" i="1" s="1"/>
  <c r="P981" i="1"/>
  <c r="Q981" i="1" s="1"/>
  <c r="M981" i="1"/>
  <c r="P877" i="1"/>
  <c r="Q877" i="1" s="1"/>
  <c r="M877" i="1"/>
  <c r="P773" i="1"/>
  <c r="Q773" i="1" s="1"/>
  <c r="M773" i="1"/>
  <c r="P661" i="1"/>
  <c r="Q661" i="1" s="1"/>
  <c r="M661" i="1"/>
  <c r="M549" i="1"/>
  <c r="P549" i="1"/>
  <c r="Q549" i="1" s="1"/>
  <c r="P293" i="1"/>
  <c r="Q293" i="1" s="1"/>
  <c r="M293" i="1"/>
  <c r="M938" i="1"/>
  <c r="P842" i="1"/>
  <c r="Q842" i="1" s="1"/>
  <c r="M842" i="1"/>
  <c r="P818" i="1"/>
  <c r="Q818" i="1" s="1"/>
  <c r="M818" i="1"/>
  <c r="P810" i="1"/>
  <c r="Q810" i="1" s="1"/>
  <c r="M810" i="1"/>
  <c r="P786" i="1"/>
  <c r="Q786" i="1" s="1"/>
  <c r="M786" i="1"/>
  <c r="M778" i="1"/>
  <c r="P770" i="1"/>
  <c r="Q770" i="1" s="1"/>
  <c r="M770" i="1"/>
  <c r="P754" i="1"/>
  <c r="Q754" i="1" s="1"/>
  <c r="P706" i="1"/>
  <c r="Q706" i="1" s="1"/>
  <c r="M706" i="1"/>
  <c r="P698" i="1"/>
  <c r="Q698" i="1" s="1"/>
  <c r="M698" i="1"/>
  <c r="P690" i="1"/>
  <c r="Q690" i="1" s="1"/>
  <c r="M690" i="1"/>
  <c r="P682" i="1"/>
  <c r="Q682" i="1" s="1"/>
  <c r="M682" i="1"/>
  <c r="M666" i="1"/>
  <c r="P658" i="1"/>
  <c r="Q658" i="1" s="1"/>
  <c r="M658" i="1"/>
  <c r="P650" i="1"/>
  <c r="Q650" i="1" s="1"/>
  <c r="P642" i="1"/>
  <c r="Q642" i="1" s="1"/>
  <c r="M642" i="1"/>
  <c r="M626" i="1"/>
  <c r="P618" i="1"/>
  <c r="Q618" i="1" s="1"/>
  <c r="M602" i="1"/>
  <c r="P594" i="1"/>
  <c r="Q594" i="1" s="1"/>
  <c r="M594" i="1"/>
  <c r="M578" i="1"/>
  <c r="P578" i="1"/>
  <c r="Q578" i="1" s="1"/>
  <c r="P570" i="1"/>
  <c r="Q570" i="1" s="1"/>
  <c r="M570" i="1"/>
  <c r="P562" i="1"/>
  <c r="Q562" i="1" s="1"/>
  <c r="M562" i="1"/>
  <c r="P554" i="1"/>
  <c r="Q554" i="1" s="1"/>
  <c r="M554" i="1"/>
  <c r="M538" i="1"/>
  <c r="P530" i="1"/>
  <c r="Q530" i="1" s="1"/>
  <c r="M530" i="1"/>
  <c r="M522" i="1"/>
  <c r="P522" i="1"/>
  <c r="Q522" i="1" s="1"/>
  <c r="P514" i="1"/>
  <c r="Q514" i="1" s="1"/>
  <c r="M514" i="1"/>
  <c r="P490" i="1"/>
  <c r="Q490" i="1" s="1"/>
  <c r="P466" i="1"/>
  <c r="Q466" i="1" s="1"/>
  <c r="M466" i="1"/>
  <c r="M458" i="1"/>
  <c r="P458" i="1"/>
  <c r="Q458" i="1" s="1"/>
  <c r="P450" i="1"/>
  <c r="Q450" i="1" s="1"/>
  <c r="P434" i="1"/>
  <c r="Q434" i="1" s="1"/>
  <c r="M434" i="1"/>
  <c r="M418" i="1"/>
  <c r="M410" i="1"/>
  <c r="M402" i="1"/>
  <c r="P402" i="1"/>
  <c r="Q402" i="1" s="1"/>
  <c r="P394" i="1"/>
  <c r="Q394" i="1" s="1"/>
  <c r="M394" i="1"/>
  <c r="P386" i="1"/>
  <c r="Q386" i="1" s="1"/>
  <c r="M386" i="1"/>
  <c r="P378" i="1"/>
  <c r="Q378" i="1" s="1"/>
  <c r="P370" i="1"/>
  <c r="Q370" i="1" s="1"/>
  <c r="M362" i="1"/>
  <c r="P338" i="1"/>
  <c r="Q338" i="1" s="1"/>
  <c r="M338" i="1"/>
  <c r="P330" i="1"/>
  <c r="Q330" i="1" s="1"/>
  <c r="M330" i="1"/>
  <c r="P322" i="1"/>
  <c r="Q322" i="1" s="1"/>
  <c r="P306" i="1"/>
  <c r="Q306" i="1" s="1"/>
  <c r="P298" i="1"/>
  <c r="Q298" i="1" s="1"/>
  <c r="M298" i="1"/>
  <c r="M290" i="1"/>
  <c r="M282" i="1"/>
  <c r="M266" i="1"/>
  <c r="P266" i="1"/>
  <c r="Q266" i="1" s="1"/>
  <c r="M1006" i="1"/>
  <c r="M987" i="1"/>
  <c r="M516" i="1"/>
  <c r="M443" i="1"/>
  <c r="M406" i="1"/>
  <c r="M370" i="1"/>
  <c r="M333" i="1"/>
  <c r="M260" i="1"/>
  <c r="P827" i="1"/>
  <c r="Q827" i="1" s="1"/>
  <c r="P373" i="1"/>
  <c r="Q373" i="1" s="1"/>
  <c r="P989" i="1"/>
  <c r="Q989" i="1" s="1"/>
  <c r="M989" i="1"/>
  <c r="P941" i="1"/>
  <c r="Q941" i="1" s="1"/>
  <c r="M941" i="1"/>
  <c r="P909" i="1"/>
  <c r="Q909" i="1" s="1"/>
  <c r="M909" i="1"/>
  <c r="P861" i="1"/>
  <c r="Q861" i="1" s="1"/>
  <c r="M861" i="1"/>
  <c r="P821" i="1"/>
  <c r="Q821" i="1" s="1"/>
  <c r="M821" i="1"/>
  <c r="P781" i="1"/>
  <c r="Q781" i="1" s="1"/>
  <c r="M781" i="1"/>
  <c r="P733" i="1"/>
  <c r="Q733" i="1" s="1"/>
  <c r="M733" i="1"/>
  <c r="P701" i="1"/>
  <c r="Q701" i="1" s="1"/>
  <c r="M701" i="1"/>
  <c r="P653" i="1"/>
  <c r="Q653" i="1" s="1"/>
  <c r="M653" i="1"/>
  <c r="P613" i="1"/>
  <c r="Q613" i="1" s="1"/>
  <c r="M613" i="1"/>
  <c r="P589" i="1"/>
  <c r="Q589" i="1" s="1"/>
  <c r="M589" i="1"/>
  <c r="M565" i="1"/>
  <c r="P565" i="1"/>
  <c r="Q565" i="1" s="1"/>
  <c r="P525" i="1"/>
  <c r="Q525" i="1" s="1"/>
  <c r="M525" i="1"/>
  <c r="P485" i="1"/>
  <c r="Q485" i="1" s="1"/>
  <c r="M485" i="1"/>
  <c r="P445" i="1"/>
  <c r="Q445" i="1" s="1"/>
  <c r="P389" i="1"/>
  <c r="Q389" i="1" s="1"/>
  <c r="M389" i="1"/>
  <c r="P914" i="1"/>
  <c r="Q914" i="1" s="1"/>
  <c r="M914" i="1"/>
  <c r="P882" i="1"/>
  <c r="Q882" i="1" s="1"/>
  <c r="M882" i="1"/>
  <c r="P858" i="1"/>
  <c r="Q858" i="1" s="1"/>
  <c r="M858" i="1"/>
  <c r="P826" i="1"/>
  <c r="Q826" i="1" s="1"/>
  <c r="M826" i="1"/>
  <c r="M730" i="1"/>
  <c r="P1001" i="1"/>
  <c r="Q1001" i="1" s="1"/>
  <c r="M1001" i="1"/>
  <c r="P993" i="1"/>
  <c r="Q993" i="1" s="1"/>
  <c r="M993" i="1"/>
  <c r="P985" i="1"/>
  <c r="Q985" i="1" s="1"/>
  <c r="M985" i="1"/>
  <c r="P977" i="1"/>
  <c r="Q977" i="1" s="1"/>
  <c r="P969" i="1"/>
  <c r="Q969" i="1" s="1"/>
  <c r="P961" i="1"/>
  <c r="Q961" i="1" s="1"/>
  <c r="M961" i="1"/>
  <c r="P953" i="1"/>
  <c r="Q953" i="1" s="1"/>
  <c r="P945" i="1"/>
  <c r="Q945" i="1" s="1"/>
  <c r="M945" i="1"/>
  <c r="P937" i="1"/>
  <c r="Q937" i="1" s="1"/>
  <c r="M929" i="1"/>
  <c r="P929" i="1"/>
  <c r="Q929" i="1" s="1"/>
  <c r="P921" i="1"/>
  <c r="Q921" i="1" s="1"/>
  <c r="P913" i="1"/>
  <c r="Q913" i="1" s="1"/>
  <c r="M913" i="1"/>
  <c r="P905" i="1"/>
  <c r="Q905" i="1" s="1"/>
  <c r="P897" i="1"/>
  <c r="Q897" i="1" s="1"/>
  <c r="M897" i="1"/>
  <c r="P889" i="1"/>
  <c r="Q889" i="1" s="1"/>
  <c r="P881" i="1"/>
  <c r="Q881" i="1" s="1"/>
  <c r="M881" i="1"/>
  <c r="P873" i="1"/>
  <c r="Q873" i="1" s="1"/>
  <c r="P865" i="1"/>
  <c r="Q865" i="1" s="1"/>
  <c r="M865" i="1"/>
  <c r="P857" i="1"/>
  <c r="Q857" i="1" s="1"/>
  <c r="P849" i="1"/>
  <c r="Q849" i="1" s="1"/>
  <c r="M849" i="1"/>
  <c r="P841" i="1"/>
  <c r="Q841" i="1" s="1"/>
  <c r="P833" i="1"/>
  <c r="Q833" i="1" s="1"/>
  <c r="M833" i="1"/>
  <c r="P825" i="1"/>
  <c r="Q825" i="1" s="1"/>
  <c r="P817" i="1"/>
  <c r="Q817" i="1" s="1"/>
  <c r="M817" i="1"/>
  <c r="P809" i="1"/>
  <c r="Q809" i="1" s="1"/>
  <c r="M801" i="1"/>
  <c r="P801" i="1"/>
  <c r="Q801" i="1" s="1"/>
  <c r="P793" i="1"/>
  <c r="Q793" i="1" s="1"/>
  <c r="P785" i="1"/>
  <c r="Q785" i="1" s="1"/>
  <c r="M785" i="1"/>
  <c r="P777" i="1"/>
  <c r="Q777" i="1" s="1"/>
  <c r="P769" i="1"/>
  <c r="Q769" i="1" s="1"/>
  <c r="M769" i="1"/>
  <c r="P761" i="1"/>
  <c r="Q761" i="1" s="1"/>
  <c r="P753" i="1"/>
  <c r="Q753" i="1" s="1"/>
  <c r="M753" i="1"/>
  <c r="P745" i="1"/>
  <c r="Q745" i="1" s="1"/>
  <c r="P737" i="1"/>
  <c r="Q737" i="1" s="1"/>
  <c r="M737" i="1"/>
  <c r="P729" i="1"/>
  <c r="Q729" i="1" s="1"/>
  <c r="P721" i="1"/>
  <c r="Q721" i="1" s="1"/>
  <c r="M721" i="1"/>
  <c r="P713" i="1"/>
  <c r="Q713" i="1" s="1"/>
  <c r="P705" i="1"/>
  <c r="Q705" i="1" s="1"/>
  <c r="M705" i="1"/>
  <c r="P697" i="1"/>
  <c r="Q697" i="1" s="1"/>
  <c r="P689" i="1"/>
  <c r="Q689" i="1" s="1"/>
  <c r="M689" i="1"/>
  <c r="P681" i="1"/>
  <c r="Q681" i="1" s="1"/>
  <c r="P673" i="1"/>
  <c r="Q673" i="1" s="1"/>
  <c r="M673" i="1"/>
  <c r="P665" i="1"/>
  <c r="Q665" i="1" s="1"/>
  <c r="P657" i="1"/>
  <c r="Q657" i="1" s="1"/>
  <c r="M657" i="1"/>
  <c r="P649" i="1"/>
  <c r="Q649" i="1" s="1"/>
  <c r="P641" i="1"/>
  <c r="Q641" i="1" s="1"/>
  <c r="M641" i="1"/>
  <c r="P633" i="1"/>
  <c r="Q633" i="1" s="1"/>
  <c r="P625" i="1"/>
  <c r="Q625" i="1" s="1"/>
  <c r="M625" i="1"/>
  <c r="P617" i="1"/>
  <c r="Q617" i="1" s="1"/>
  <c r="P609" i="1"/>
  <c r="Q609" i="1" s="1"/>
  <c r="M609" i="1"/>
  <c r="P601" i="1"/>
  <c r="Q601" i="1" s="1"/>
  <c r="P593" i="1"/>
  <c r="Q593" i="1" s="1"/>
  <c r="M593" i="1"/>
  <c r="P585" i="1"/>
  <c r="Q585" i="1" s="1"/>
  <c r="P577" i="1"/>
  <c r="Q577" i="1" s="1"/>
  <c r="M577" i="1"/>
  <c r="P569" i="1"/>
  <c r="Q569" i="1" s="1"/>
  <c r="P561" i="1"/>
  <c r="Q561" i="1" s="1"/>
  <c r="M561" i="1"/>
  <c r="P553" i="1"/>
  <c r="Q553" i="1" s="1"/>
  <c r="M553" i="1"/>
  <c r="P545" i="1"/>
  <c r="Q545" i="1" s="1"/>
  <c r="M545" i="1"/>
  <c r="M537" i="1"/>
  <c r="P537" i="1"/>
  <c r="Q537" i="1" s="1"/>
  <c r="M529" i="1"/>
  <c r="P529" i="1"/>
  <c r="Q529" i="1" s="1"/>
  <c r="M513" i="1"/>
  <c r="P513" i="1"/>
  <c r="Q513" i="1" s="1"/>
  <c r="M505" i="1"/>
  <c r="P505" i="1"/>
  <c r="Q505" i="1" s="1"/>
  <c r="P497" i="1"/>
  <c r="Q497" i="1" s="1"/>
  <c r="M497" i="1"/>
  <c r="P489" i="1"/>
  <c r="Q489" i="1" s="1"/>
  <c r="M489" i="1"/>
  <c r="P481" i="1"/>
  <c r="Q481" i="1" s="1"/>
  <c r="M481" i="1"/>
  <c r="M473" i="1"/>
  <c r="P473" i="1"/>
  <c r="Q473" i="1" s="1"/>
  <c r="M465" i="1"/>
  <c r="P465" i="1"/>
  <c r="Q465" i="1" s="1"/>
  <c r="M457" i="1"/>
  <c r="P457" i="1"/>
  <c r="Q457" i="1" s="1"/>
  <c r="M449" i="1"/>
  <c r="P449" i="1"/>
  <c r="Q449" i="1" s="1"/>
  <c r="M441" i="1"/>
  <c r="P441" i="1"/>
  <c r="Q441" i="1" s="1"/>
  <c r="P433" i="1"/>
  <c r="Q433" i="1" s="1"/>
  <c r="M433" i="1"/>
  <c r="P425" i="1"/>
  <c r="Q425" i="1" s="1"/>
  <c r="M425" i="1"/>
  <c r="P417" i="1"/>
  <c r="Q417" i="1" s="1"/>
  <c r="M417" i="1"/>
  <c r="M409" i="1"/>
  <c r="P409" i="1"/>
  <c r="Q409" i="1" s="1"/>
  <c r="M401" i="1"/>
  <c r="P401" i="1"/>
  <c r="Q401" i="1" s="1"/>
  <c r="M393" i="1"/>
  <c r="P393" i="1"/>
  <c r="Q393" i="1" s="1"/>
  <c r="M385" i="1"/>
  <c r="P385" i="1"/>
  <c r="Q385" i="1" s="1"/>
  <c r="P377" i="1"/>
  <c r="Q377" i="1" s="1"/>
  <c r="M377" i="1"/>
  <c r="P369" i="1"/>
  <c r="Q369" i="1" s="1"/>
  <c r="M369" i="1"/>
  <c r="P361" i="1"/>
  <c r="Q361" i="1" s="1"/>
  <c r="M361" i="1"/>
  <c r="P353" i="1"/>
  <c r="Q353" i="1" s="1"/>
  <c r="M353" i="1"/>
  <c r="P345" i="1"/>
  <c r="Q345" i="1" s="1"/>
  <c r="M345" i="1"/>
  <c r="P337" i="1"/>
  <c r="Q337" i="1" s="1"/>
  <c r="M337" i="1"/>
  <c r="P329" i="1"/>
  <c r="Q329" i="1" s="1"/>
  <c r="M329" i="1"/>
  <c r="P321" i="1"/>
  <c r="Q321" i="1" s="1"/>
  <c r="M321" i="1"/>
  <c r="P313" i="1"/>
  <c r="Q313" i="1" s="1"/>
  <c r="M313" i="1"/>
  <c r="P305" i="1"/>
  <c r="Q305" i="1" s="1"/>
  <c r="M305" i="1"/>
  <c r="P297" i="1"/>
  <c r="Q297" i="1" s="1"/>
  <c r="M297" i="1"/>
  <c r="P289" i="1"/>
  <c r="Q289" i="1" s="1"/>
  <c r="M289" i="1"/>
  <c r="P281" i="1"/>
  <c r="Q281" i="1" s="1"/>
  <c r="M281" i="1"/>
  <c r="P273" i="1"/>
  <c r="Q273" i="1" s="1"/>
  <c r="M273" i="1"/>
  <c r="P265" i="1"/>
  <c r="Q265" i="1" s="1"/>
  <c r="M265" i="1"/>
  <c r="M1004" i="1"/>
  <c r="M986" i="1"/>
  <c r="M515" i="1"/>
  <c r="M478" i="1"/>
  <c r="M442" i="1"/>
  <c r="M405" i="1"/>
  <c r="M332" i="1"/>
  <c r="P751" i="1"/>
  <c r="Q751" i="1" s="1"/>
  <c r="P965" i="1"/>
  <c r="Q965" i="1" s="1"/>
  <c r="M965" i="1"/>
  <c r="P933" i="1"/>
  <c r="Q933" i="1" s="1"/>
  <c r="M933" i="1"/>
  <c r="P901" i="1"/>
  <c r="Q901" i="1" s="1"/>
  <c r="M901" i="1"/>
  <c r="P845" i="1"/>
  <c r="Q845" i="1" s="1"/>
  <c r="M845" i="1"/>
  <c r="P813" i="1"/>
  <c r="Q813" i="1" s="1"/>
  <c r="M813" i="1"/>
  <c r="P765" i="1"/>
  <c r="Q765" i="1" s="1"/>
  <c r="M765" i="1"/>
  <c r="P725" i="1"/>
  <c r="Q725" i="1" s="1"/>
  <c r="M725" i="1"/>
  <c r="M693" i="1"/>
  <c r="P693" i="1"/>
  <c r="Q693" i="1" s="1"/>
  <c r="P645" i="1"/>
  <c r="Q645" i="1" s="1"/>
  <c r="M645" i="1"/>
  <c r="M605" i="1"/>
  <c r="P605" i="1"/>
  <c r="Q605" i="1" s="1"/>
  <c r="P573" i="1"/>
  <c r="Q573" i="1" s="1"/>
  <c r="M573" i="1"/>
  <c r="P517" i="1"/>
  <c r="Q517" i="1" s="1"/>
  <c r="M517" i="1"/>
  <c r="M429" i="1"/>
  <c r="P429" i="1"/>
  <c r="Q429" i="1" s="1"/>
  <c r="P381" i="1"/>
  <c r="Q381" i="1" s="1"/>
  <c r="M381" i="1"/>
  <c r="P285" i="1"/>
  <c r="Q285" i="1" s="1"/>
  <c r="M285" i="1"/>
  <c r="P994" i="1"/>
  <c r="Q994" i="1" s="1"/>
  <c r="M994" i="1"/>
  <c r="P962" i="1"/>
  <c r="Q962" i="1" s="1"/>
  <c r="M962" i="1"/>
  <c r="P922" i="1"/>
  <c r="Q922" i="1" s="1"/>
  <c r="M922" i="1"/>
  <c r="P890" i="1"/>
  <c r="Q890" i="1" s="1"/>
  <c r="M890" i="1"/>
  <c r="P874" i="1"/>
  <c r="Q874" i="1" s="1"/>
  <c r="M874" i="1"/>
  <c r="P834" i="1"/>
  <c r="Q834" i="1" s="1"/>
  <c r="M834" i="1"/>
  <c r="P722" i="1"/>
  <c r="Q722" i="1" s="1"/>
  <c r="M722" i="1"/>
  <c r="P992" i="1"/>
  <c r="Q992" i="1" s="1"/>
  <c r="M992" i="1"/>
  <c r="P984" i="1"/>
  <c r="Q984" i="1" s="1"/>
  <c r="M984" i="1"/>
  <c r="P976" i="1"/>
  <c r="Q976" i="1" s="1"/>
  <c r="M976" i="1"/>
  <c r="P968" i="1"/>
  <c r="Q968" i="1" s="1"/>
  <c r="P960" i="1"/>
  <c r="Q960" i="1" s="1"/>
  <c r="P944" i="1"/>
  <c r="Q944" i="1" s="1"/>
  <c r="P936" i="1"/>
  <c r="Q936" i="1" s="1"/>
  <c r="P920" i="1"/>
  <c r="Q920" i="1" s="1"/>
  <c r="P912" i="1"/>
  <c r="Q912" i="1" s="1"/>
  <c r="P904" i="1"/>
  <c r="Q904" i="1" s="1"/>
  <c r="P896" i="1"/>
  <c r="Q896" i="1" s="1"/>
  <c r="P888" i="1"/>
  <c r="Q888" i="1" s="1"/>
  <c r="P880" i="1"/>
  <c r="Q880" i="1" s="1"/>
  <c r="P872" i="1"/>
  <c r="Q872" i="1" s="1"/>
  <c r="P864" i="1"/>
  <c r="Q864" i="1" s="1"/>
  <c r="P856" i="1"/>
  <c r="Q856" i="1" s="1"/>
  <c r="P848" i="1"/>
  <c r="Q848" i="1" s="1"/>
  <c r="P840" i="1"/>
  <c r="Q840" i="1" s="1"/>
  <c r="P824" i="1"/>
  <c r="Q824" i="1" s="1"/>
  <c r="P816" i="1"/>
  <c r="Q816" i="1" s="1"/>
  <c r="P800" i="1"/>
  <c r="Q800" i="1" s="1"/>
  <c r="P792" i="1"/>
  <c r="Q792" i="1" s="1"/>
  <c r="P784" i="1"/>
  <c r="Q784" i="1" s="1"/>
  <c r="P776" i="1"/>
  <c r="Q776" i="1" s="1"/>
  <c r="P768" i="1"/>
  <c r="Q768" i="1" s="1"/>
  <c r="P760" i="1"/>
  <c r="Q760" i="1" s="1"/>
  <c r="P744" i="1"/>
  <c r="Q744" i="1" s="1"/>
  <c r="P728" i="1"/>
  <c r="Q728" i="1" s="1"/>
  <c r="P720" i="1"/>
  <c r="Q720" i="1" s="1"/>
  <c r="P712" i="1"/>
  <c r="Q712" i="1" s="1"/>
  <c r="P696" i="1"/>
  <c r="Q696" i="1" s="1"/>
  <c r="P688" i="1"/>
  <c r="Q688" i="1" s="1"/>
  <c r="P680" i="1"/>
  <c r="Q680" i="1" s="1"/>
  <c r="P672" i="1"/>
  <c r="Q672" i="1" s="1"/>
  <c r="P656" i="1"/>
  <c r="Q656" i="1" s="1"/>
  <c r="P648" i="1"/>
  <c r="Q648" i="1" s="1"/>
  <c r="P640" i="1"/>
  <c r="Q640" i="1" s="1"/>
  <c r="P632" i="1"/>
  <c r="Q632" i="1" s="1"/>
  <c r="P624" i="1"/>
  <c r="Q624" i="1" s="1"/>
  <c r="P616" i="1"/>
  <c r="Q616" i="1" s="1"/>
  <c r="P608" i="1"/>
  <c r="Q608" i="1" s="1"/>
  <c r="P600" i="1"/>
  <c r="Q600" i="1" s="1"/>
  <c r="P592" i="1"/>
  <c r="Q592" i="1" s="1"/>
  <c r="P576" i="1"/>
  <c r="Q576" i="1" s="1"/>
  <c r="P568" i="1"/>
  <c r="Q568" i="1" s="1"/>
  <c r="P560" i="1"/>
  <c r="Q560" i="1" s="1"/>
  <c r="P544" i="1"/>
  <c r="Q544" i="1" s="1"/>
  <c r="M544" i="1"/>
  <c r="P536" i="1"/>
  <c r="Q536" i="1" s="1"/>
  <c r="P528" i="1"/>
  <c r="Q528" i="1" s="1"/>
  <c r="M528" i="1"/>
  <c r="M520" i="1"/>
  <c r="P520" i="1"/>
  <c r="Q520" i="1" s="1"/>
  <c r="P512" i="1"/>
  <c r="Q512" i="1" s="1"/>
  <c r="M512" i="1"/>
  <c r="P504" i="1"/>
  <c r="Q504" i="1" s="1"/>
  <c r="M504" i="1"/>
  <c r="P496" i="1"/>
  <c r="Q496" i="1" s="1"/>
  <c r="P488" i="1"/>
  <c r="Q488" i="1" s="1"/>
  <c r="M488" i="1"/>
  <c r="M480" i="1"/>
  <c r="P472" i="1"/>
  <c r="Q472" i="1" s="1"/>
  <c r="M472" i="1"/>
  <c r="M464" i="1"/>
  <c r="P464" i="1"/>
  <c r="Q464" i="1" s="1"/>
  <c r="P456" i="1"/>
  <c r="Q456" i="1" s="1"/>
  <c r="M456" i="1"/>
  <c r="M448" i="1"/>
  <c r="P432" i="1"/>
  <c r="Q432" i="1" s="1"/>
  <c r="P424" i="1"/>
  <c r="Q424" i="1" s="1"/>
  <c r="P416" i="1"/>
  <c r="Q416" i="1" s="1"/>
  <c r="M416" i="1"/>
  <c r="P400" i="1"/>
  <c r="Q400" i="1" s="1"/>
  <c r="M400" i="1"/>
  <c r="P384" i="1"/>
  <c r="Q384" i="1" s="1"/>
  <c r="M384" i="1"/>
  <c r="P376" i="1"/>
  <c r="Q376" i="1" s="1"/>
  <c r="M376" i="1"/>
  <c r="P368" i="1"/>
  <c r="Q368" i="1" s="1"/>
  <c r="M1000" i="1"/>
  <c r="M982" i="1"/>
  <c r="M960" i="1"/>
  <c r="M928" i="1"/>
  <c r="M896" i="1"/>
  <c r="M864" i="1"/>
  <c r="M832" i="1"/>
  <c r="M800" i="1"/>
  <c r="M768" i="1"/>
  <c r="M736" i="1"/>
  <c r="M704" i="1"/>
  <c r="M672" i="1"/>
  <c r="M640" i="1"/>
  <c r="M608" i="1"/>
  <c r="M576" i="1"/>
  <c r="M542" i="1"/>
  <c r="M469" i="1"/>
  <c r="M432" i="1"/>
  <c r="M396" i="1"/>
  <c r="P727" i="1"/>
  <c r="Q727" i="1" s="1"/>
  <c r="P1005" i="1"/>
  <c r="Q1005" i="1" s="1"/>
  <c r="M1005" i="1"/>
  <c r="P949" i="1"/>
  <c r="Q949" i="1" s="1"/>
  <c r="M949" i="1"/>
  <c r="P917" i="1"/>
  <c r="Q917" i="1" s="1"/>
  <c r="M917" i="1"/>
  <c r="P869" i="1"/>
  <c r="Q869" i="1" s="1"/>
  <c r="M869" i="1"/>
  <c r="M829" i="1"/>
  <c r="P797" i="1"/>
  <c r="Q797" i="1" s="1"/>
  <c r="M797" i="1"/>
  <c r="P749" i="1"/>
  <c r="Q749" i="1" s="1"/>
  <c r="M749" i="1"/>
  <c r="P717" i="1"/>
  <c r="Q717" i="1" s="1"/>
  <c r="M717" i="1"/>
  <c r="M677" i="1"/>
  <c r="P677" i="1"/>
  <c r="Q677" i="1" s="1"/>
  <c r="M637" i="1"/>
  <c r="P637" i="1"/>
  <c r="Q637" i="1" s="1"/>
  <c r="M597" i="1"/>
  <c r="P557" i="1"/>
  <c r="Q557" i="1" s="1"/>
  <c r="M557" i="1"/>
  <c r="P509" i="1"/>
  <c r="Q509" i="1" s="1"/>
  <c r="M509" i="1"/>
  <c r="P477" i="1"/>
  <c r="Q477" i="1" s="1"/>
  <c r="M477" i="1"/>
  <c r="P453" i="1"/>
  <c r="Q453" i="1" s="1"/>
  <c r="M453" i="1"/>
  <c r="M413" i="1"/>
  <c r="P413" i="1"/>
  <c r="Q413" i="1" s="1"/>
  <c r="P365" i="1"/>
  <c r="Q365" i="1" s="1"/>
  <c r="M365" i="1"/>
  <c r="P261" i="1"/>
  <c r="Q261" i="1" s="1"/>
  <c r="M261" i="1"/>
  <c r="M533" i="1"/>
  <c r="P1003" i="1"/>
  <c r="Q1003" i="1" s="1"/>
  <c r="M1003" i="1"/>
  <c r="P1002" i="1"/>
  <c r="Q1002" i="1" s="1"/>
  <c r="M1002" i="1"/>
  <c r="P970" i="1"/>
  <c r="Q970" i="1" s="1"/>
  <c r="M970" i="1"/>
  <c r="P898" i="1"/>
  <c r="Q898" i="1" s="1"/>
  <c r="M898" i="1"/>
  <c r="P850" i="1"/>
  <c r="Q850" i="1" s="1"/>
  <c r="M850" i="1"/>
  <c r="P714" i="1"/>
  <c r="Q714" i="1" s="1"/>
  <c r="M714" i="1"/>
  <c r="P999" i="1"/>
  <c r="Q999" i="1" s="1"/>
  <c r="P991" i="1"/>
  <c r="Q991" i="1" s="1"/>
  <c r="M983" i="1"/>
  <c r="P983" i="1"/>
  <c r="Q983" i="1" s="1"/>
  <c r="P975" i="1"/>
  <c r="Q975" i="1" s="1"/>
  <c r="M975" i="1"/>
  <c r="P967" i="1"/>
  <c r="Q967" i="1" s="1"/>
  <c r="M967" i="1"/>
  <c r="P959" i="1"/>
  <c r="Q959" i="1" s="1"/>
  <c r="M959" i="1"/>
  <c r="P951" i="1"/>
  <c r="Q951" i="1" s="1"/>
  <c r="M951" i="1"/>
  <c r="P943" i="1"/>
  <c r="Q943" i="1" s="1"/>
  <c r="M943" i="1"/>
  <c r="P935" i="1"/>
  <c r="Q935" i="1" s="1"/>
  <c r="M935" i="1"/>
  <c r="M927" i="1"/>
  <c r="P927" i="1"/>
  <c r="Q927" i="1" s="1"/>
  <c r="P919" i="1"/>
  <c r="Q919" i="1" s="1"/>
  <c r="M919" i="1"/>
  <c r="P911" i="1"/>
  <c r="Q911" i="1" s="1"/>
  <c r="M911" i="1"/>
  <c r="M903" i="1"/>
  <c r="P903" i="1"/>
  <c r="Q903" i="1" s="1"/>
  <c r="P895" i="1"/>
  <c r="Q895" i="1" s="1"/>
  <c r="M895" i="1"/>
  <c r="P887" i="1"/>
  <c r="Q887" i="1" s="1"/>
  <c r="M887" i="1"/>
  <c r="M879" i="1"/>
  <c r="P879" i="1"/>
  <c r="Q879" i="1" s="1"/>
  <c r="P871" i="1"/>
  <c r="Q871" i="1" s="1"/>
  <c r="M871" i="1"/>
  <c r="M863" i="1"/>
  <c r="P863" i="1"/>
  <c r="Q863" i="1" s="1"/>
  <c r="M855" i="1"/>
  <c r="P855" i="1"/>
  <c r="Q855" i="1" s="1"/>
  <c r="P847" i="1"/>
  <c r="Q847" i="1" s="1"/>
  <c r="M847" i="1"/>
  <c r="P839" i="1"/>
  <c r="Q839" i="1" s="1"/>
  <c r="M839" i="1"/>
  <c r="P831" i="1"/>
  <c r="Q831" i="1" s="1"/>
  <c r="M831" i="1"/>
  <c r="P823" i="1"/>
  <c r="Q823" i="1" s="1"/>
  <c r="M823" i="1"/>
  <c r="P815" i="1"/>
  <c r="Q815" i="1" s="1"/>
  <c r="M815" i="1"/>
  <c r="P807" i="1"/>
  <c r="Q807" i="1" s="1"/>
  <c r="M807" i="1"/>
  <c r="M799" i="1"/>
  <c r="P799" i="1"/>
  <c r="Q799" i="1" s="1"/>
  <c r="P791" i="1"/>
  <c r="Q791" i="1" s="1"/>
  <c r="M791" i="1"/>
  <c r="P783" i="1"/>
  <c r="Q783" i="1" s="1"/>
  <c r="M783" i="1"/>
  <c r="M775" i="1"/>
  <c r="P775" i="1"/>
  <c r="Q775" i="1" s="1"/>
  <c r="P767" i="1"/>
  <c r="Q767" i="1" s="1"/>
  <c r="M767" i="1"/>
  <c r="P759" i="1"/>
  <c r="Q759" i="1" s="1"/>
  <c r="M759" i="1"/>
  <c r="P743" i="1"/>
  <c r="Q743" i="1" s="1"/>
  <c r="M743" i="1"/>
  <c r="M735" i="1"/>
  <c r="P735" i="1"/>
  <c r="Q735" i="1" s="1"/>
  <c r="P719" i="1"/>
  <c r="Q719" i="1" s="1"/>
  <c r="M719" i="1"/>
  <c r="P711" i="1"/>
  <c r="Q711" i="1" s="1"/>
  <c r="M711" i="1"/>
  <c r="P703" i="1"/>
  <c r="Q703" i="1" s="1"/>
  <c r="M703" i="1"/>
  <c r="P695" i="1"/>
  <c r="Q695" i="1" s="1"/>
  <c r="M695" i="1"/>
  <c r="P687" i="1"/>
  <c r="Q687" i="1" s="1"/>
  <c r="M687" i="1"/>
  <c r="P679" i="1"/>
  <c r="Q679" i="1" s="1"/>
  <c r="M679" i="1"/>
  <c r="P671" i="1"/>
  <c r="Q671" i="1" s="1"/>
  <c r="M671" i="1"/>
  <c r="P663" i="1"/>
  <c r="Q663" i="1" s="1"/>
  <c r="M663" i="1"/>
  <c r="P655" i="1"/>
  <c r="Q655" i="1" s="1"/>
  <c r="M655" i="1"/>
  <c r="P647" i="1"/>
  <c r="Q647" i="1" s="1"/>
  <c r="M647" i="1"/>
  <c r="P639" i="1"/>
  <c r="Q639" i="1" s="1"/>
  <c r="M639" i="1"/>
  <c r="P631" i="1"/>
  <c r="Q631" i="1" s="1"/>
  <c r="M631" i="1"/>
  <c r="P623" i="1"/>
  <c r="Q623" i="1" s="1"/>
  <c r="M623" i="1"/>
  <c r="P615" i="1"/>
  <c r="Q615" i="1" s="1"/>
  <c r="M615" i="1"/>
  <c r="P607" i="1"/>
  <c r="Q607" i="1" s="1"/>
  <c r="M607" i="1"/>
  <c r="P599" i="1"/>
  <c r="Q599" i="1" s="1"/>
  <c r="M599" i="1"/>
  <c r="P591" i="1"/>
  <c r="Q591" i="1" s="1"/>
  <c r="M591" i="1"/>
  <c r="P583" i="1"/>
  <c r="Q583" i="1" s="1"/>
  <c r="M583" i="1"/>
  <c r="P575" i="1"/>
  <c r="Q575" i="1" s="1"/>
  <c r="M575" i="1"/>
  <c r="P567" i="1"/>
  <c r="Q567" i="1" s="1"/>
  <c r="M567" i="1"/>
  <c r="P559" i="1"/>
  <c r="Q559" i="1" s="1"/>
  <c r="M559" i="1"/>
  <c r="P551" i="1"/>
  <c r="Q551" i="1" s="1"/>
  <c r="P543" i="1"/>
  <c r="Q543" i="1" s="1"/>
  <c r="M543" i="1"/>
  <c r="P535" i="1"/>
  <c r="Q535" i="1" s="1"/>
  <c r="M535" i="1"/>
  <c r="P527" i="1"/>
  <c r="Q527" i="1" s="1"/>
  <c r="M527" i="1"/>
  <c r="P519" i="1"/>
  <c r="Q519" i="1" s="1"/>
  <c r="M519" i="1"/>
  <c r="P511" i="1"/>
  <c r="Q511" i="1" s="1"/>
  <c r="M511" i="1"/>
  <c r="P503" i="1"/>
  <c r="Q503" i="1" s="1"/>
  <c r="M503" i="1"/>
  <c r="P495" i="1"/>
  <c r="Q495" i="1" s="1"/>
  <c r="M495" i="1"/>
  <c r="P487" i="1"/>
  <c r="Q487" i="1" s="1"/>
  <c r="P479" i="1"/>
  <c r="Q479" i="1" s="1"/>
  <c r="P471" i="1"/>
  <c r="Q471" i="1" s="1"/>
  <c r="M471" i="1"/>
  <c r="P463" i="1"/>
  <c r="Q463" i="1" s="1"/>
  <c r="P455" i="1"/>
  <c r="Q455" i="1" s="1"/>
  <c r="M455" i="1"/>
  <c r="P447" i="1"/>
  <c r="Q447" i="1" s="1"/>
  <c r="M447" i="1"/>
  <c r="P439" i="1"/>
  <c r="Q439" i="1" s="1"/>
  <c r="M439" i="1"/>
  <c r="P431" i="1"/>
  <c r="Q431" i="1" s="1"/>
  <c r="M431" i="1"/>
  <c r="P423" i="1"/>
  <c r="Q423" i="1" s="1"/>
  <c r="P415" i="1"/>
  <c r="Q415" i="1" s="1"/>
  <c r="M415" i="1"/>
  <c r="P407" i="1"/>
  <c r="Q407" i="1" s="1"/>
  <c r="M407" i="1"/>
  <c r="P399" i="1"/>
  <c r="Q399" i="1" s="1"/>
  <c r="M399" i="1"/>
  <c r="P391" i="1"/>
  <c r="Q391" i="1" s="1"/>
  <c r="M391" i="1"/>
  <c r="P383" i="1"/>
  <c r="Q383" i="1" s="1"/>
  <c r="M383" i="1"/>
  <c r="P375" i="1"/>
  <c r="Q375" i="1" s="1"/>
  <c r="M375" i="1"/>
  <c r="M999" i="1"/>
  <c r="M980" i="1"/>
  <c r="M955" i="1"/>
  <c r="M923" i="1"/>
  <c r="M891" i="1"/>
  <c r="M859" i="1"/>
  <c r="M795" i="1"/>
  <c r="M763" i="1"/>
  <c r="M731" i="1"/>
  <c r="M699" i="1"/>
  <c r="M667" i="1"/>
  <c r="M635" i="1"/>
  <c r="M603" i="1"/>
  <c r="M571" i="1"/>
  <c r="M536" i="1"/>
  <c r="M500" i="1"/>
  <c r="M463" i="1"/>
  <c r="M427" i="1"/>
  <c r="M390" i="1"/>
  <c r="M354" i="1"/>
  <c r="M317" i="1"/>
  <c r="P638" i="1"/>
  <c r="Q638" i="1" s="1"/>
  <c r="P379" i="1"/>
  <c r="Q379" i="1" s="1"/>
  <c r="P371" i="1"/>
  <c r="Q371" i="1" s="1"/>
  <c r="P363" i="1"/>
  <c r="Q363" i="1" s="1"/>
  <c r="P355" i="1"/>
  <c r="Q355" i="1" s="1"/>
  <c r="M355" i="1"/>
  <c r="P347" i="1"/>
  <c r="Q347" i="1" s="1"/>
  <c r="M347" i="1"/>
  <c r="P339" i="1"/>
  <c r="Q339" i="1" s="1"/>
  <c r="M339" i="1"/>
  <c r="P331" i="1"/>
  <c r="Q331" i="1" s="1"/>
  <c r="M331" i="1"/>
  <c r="P315" i="1"/>
  <c r="Q315" i="1" s="1"/>
  <c r="P307" i="1"/>
  <c r="Q307" i="1" s="1"/>
  <c r="P299" i="1"/>
  <c r="Q299" i="1" s="1"/>
  <c r="P291" i="1"/>
  <c r="Q291" i="1" s="1"/>
  <c r="M291" i="1"/>
  <c r="P283" i="1"/>
  <c r="Q283" i="1" s="1"/>
  <c r="M283" i="1"/>
  <c r="P267" i="1"/>
  <c r="Q267" i="1" s="1"/>
  <c r="M267" i="1"/>
  <c r="M371" i="1"/>
  <c r="P360" i="1"/>
  <c r="Q360" i="1" s="1"/>
  <c r="P352" i="1"/>
  <c r="Q352" i="1" s="1"/>
  <c r="P344" i="1"/>
  <c r="Q344" i="1" s="1"/>
  <c r="P336" i="1"/>
  <c r="Q336" i="1" s="1"/>
  <c r="M336" i="1"/>
  <c r="P328" i="1"/>
  <c r="Q328" i="1" s="1"/>
  <c r="M328" i="1"/>
  <c r="P320" i="1"/>
  <c r="Q320" i="1" s="1"/>
  <c r="M320" i="1"/>
  <c r="M312" i="1"/>
  <c r="P296" i="1"/>
  <c r="Q296" i="1" s="1"/>
  <c r="P288" i="1"/>
  <c r="Q288" i="1" s="1"/>
  <c r="P280" i="1"/>
  <c r="Q280" i="1" s="1"/>
  <c r="P272" i="1"/>
  <c r="Q272" i="1" s="1"/>
  <c r="M272" i="1"/>
  <c r="P264" i="1"/>
  <c r="Q264" i="1" s="1"/>
  <c r="M264" i="1"/>
  <c r="M363" i="1"/>
  <c r="M344" i="1"/>
  <c r="P275" i="1"/>
  <c r="Q275" i="1" s="1"/>
  <c r="P367" i="1"/>
  <c r="Q367" i="1" s="1"/>
  <c r="M367" i="1"/>
  <c r="P359" i="1"/>
  <c r="Q359" i="1" s="1"/>
  <c r="P351" i="1"/>
  <c r="Q351" i="1" s="1"/>
  <c r="P343" i="1"/>
  <c r="Q343" i="1" s="1"/>
  <c r="P335" i="1"/>
  <c r="Q335" i="1" s="1"/>
  <c r="P327" i="1"/>
  <c r="Q327" i="1" s="1"/>
  <c r="M327" i="1"/>
  <c r="P319" i="1"/>
  <c r="Q319" i="1" s="1"/>
  <c r="M319" i="1"/>
  <c r="P311" i="1"/>
  <c r="Q311" i="1" s="1"/>
  <c r="M311" i="1"/>
  <c r="P303" i="1"/>
  <c r="Q303" i="1" s="1"/>
  <c r="M303" i="1"/>
  <c r="P295" i="1"/>
  <c r="Q295" i="1" s="1"/>
  <c r="P287" i="1"/>
  <c r="Q287" i="1" s="1"/>
  <c r="P279" i="1"/>
  <c r="Q279" i="1" s="1"/>
  <c r="P271" i="1"/>
  <c r="Q271" i="1" s="1"/>
  <c r="P263" i="1"/>
  <c r="Q263" i="1" s="1"/>
  <c r="M263" i="1"/>
  <c r="M343" i="1"/>
  <c r="M307" i="1"/>
  <c r="M288" i="1"/>
  <c r="P374" i="1"/>
  <c r="Q374" i="1" s="1"/>
  <c r="M374" i="1"/>
  <c r="P366" i="1"/>
  <c r="Q366" i="1" s="1"/>
  <c r="M366" i="1"/>
  <c r="P358" i="1"/>
  <c r="Q358" i="1" s="1"/>
  <c r="M358" i="1"/>
  <c r="P350" i="1"/>
  <c r="Q350" i="1" s="1"/>
  <c r="P342" i="1"/>
  <c r="Q342" i="1" s="1"/>
  <c r="P334" i="1"/>
  <c r="Q334" i="1" s="1"/>
  <c r="P326" i="1"/>
  <c r="Q326" i="1" s="1"/>
  <c r="P318" i="1"/>
  <c r="Q318" i="1" s="1"/>
  <c r="M318" i="1"/>
  <c r="P310" i="1"/>
  <c r="Q310" i="1" s="1"/>
  <c r="M310" i="1"/>
  <c r="P302" i="1"/>
  <c r="Q302" i="1" s="1"/>
  <c r="M302" i="1"/>
  <c r="P294" i="1"/>
  <c r="Q294" i="1" s="1"/>
  <c r="M294" i="1"/>
  <c r="P286" i="1"/>
  <c r="Q286" i="1" s="1"/>
  <c r="P278" i="1"/>
  <c r="Q278" i="1" s="1"/>
  <c r="P270" i="1"/>
  <c r="Q270" i="1" s="1"/>
  <c r="P262" i="1"/>
  <c r="Q262" i="1" s="1"/>
  <c r="M379" i="1"/>
  <c r="M360" i="1"/>
  <c r="M342" i="1"/>
  <c r="M287" i="1"/>
  <c r="P259" i="1"/>
  <c r="Q259" i="1" s="1"/>
  <c r="P251" i="1"/>
  <c r="Q251" i="1" s="1"/>
  <c r="M251" i="1"/>
  <c r="P243" i="1"/>
  <c r="Q243" i="1" s="1"/>
  <c r="M243" i="1"/>
  <c r="P235" i="1"/>
  <c r="Q235" i="1" s="1"/>
  <c r="M235" i="1"/>
  <c r="P227" i="1"/>
  <c r="Q227" i="1" s="1"/>
  <c r="M227" i="1"/>
  <c r="P219" i="1"/>
  <c r="Q219" i="1" s="1"/>
  <c r="M219" i="1"/>
  <c r="P211" i="1"/>
  <c r="Q211" i="1" s="1"/>
  <c r="M211" i="1"/>
  <c r="P203" i="1"/>
  <c r="Q203" i="1" s="1"/>
  <c r="M203" i="1"/>
  <c r="P195" i="1"/>
  <c r="Q195" i="1" s="1"/>
  <c r="M195" i="1"/>
  <c r="P187" i="1"/>
  <c r="Q187" i="1" s="1"/>
  <c r="M187" i="1"/>
  <c r="P179" i="1"/>
  <c r="Q179" i="1" s="1"/>
  <c r="M179" i="1"/>
  <c r="P171" i="1"/>
  <c r="Q171" i="1" s="1"/>
  <c r="M171" i="1"/>
  <c r="P163" i="1"/>
  <c r="Q163" i="1" s="1"/>
  <c r="M163" i="1"/>
  <c r="M147" i="1"/>
  <c r="P147" i="1"/>
  <c r="Q147" i="1" s="1"/>
  <c r="P139" i="1"/>
  <c r="Q139" i="1" s="1"/>
  <c r="M139" i="1"/>
  <c r="M131" i="1"/>
  <c r="P131" i="1"/>
  <c r="Q131" i="1" s="1"/>
  <c r="P123" i="1"/>
  <c r="Q123" i="1" s="1"/>
  <c r="M123" i="1"/>
  <c r="P115" i="1"/>
  <c r="Q115" i="1" s="1"/>
  <c r="M115" i="1"/>
  <c r="M107" i="1"/>
  <c r="P107" i="1"/>
  <c r="Q107" i="1" s="1"/>
  <c r="P99" i="1"/>
  <c r="Q99" i="1" s="1"/>
  <c r="M99" i="1"/>
  <c r="M83" i="1"/>
  <c r="P83" i="1"/>
  <c r="Q83" i="1" s="1"/>
  <c r="P75" i="1"/>
  <c r="Q75" i="1" s="1"/>
  <c r="M75" i="1"/>
  <c r="M67" i="1"/>
  <c r="P67" i="1"/>
  <c r="Q67" i="1" s="1"/>
  <c r="P59" i="1"/>
  <c r="Q59" i="1" s="1"/>
  <c r="M59" i="1"/>
  <c r="P51" i="1"/>
  <c r="Q51" i="1" s="1"/>
  <c r="M51" i="1"/>
  <c r="M43" i="1"/>
  <c r="P43" i="1"/>
  <c r="Q43" i="1" s="1"/>
  <c r="P35" i="1"/>
  <c r="Q35" i="1" s="1"/>
  <c r="M35" i="1"/>
  <c r="M19" i="1"/>
  <c r="P19" i="1"/>
  <c r="Q19" i="1" s="1"/>
  <c r="P11" i="1"/>
  <c r="Q11" i="1" s="1"/>
  <c r="M11" i="1"/>
  <c r="M3" i="1"/>
  <c r="P3" i="1"/>
  <c r="Q3" i="1" s="1"/>
  <c r="P105" i="1"/>
  <c r="Q105" i="1" s="1"/>
  <c r="P258" i="1"/>
  <c r="Q258" i="1" s="1"/>
  <c r="M258" i="1"/>
  <c r="M250" i="1"/>
  <c r="P250" i="1"/>
  <c r="Q250" i="1" s="1"/>
  <c r="M242" i="1"/>
  <c r="P242" i="1"/>
  <c r="Q242" i="1" s="1"/>
  <c r="P234" i="1"/>
  <c r="Q234" i="1" s="1"/>
  <c r="M234" i="1"/>
  <c r="M226" i="1"/>
  <c r="P226" i="1"/>
  <c r="Q226" i="1" s="1"/>
  <c r="M218" i="1"/>
  <c r="M210" i="1"/>
  <c r="M202" i="1"/>
  <c r="M194" i="1"/>
  <c r="M186" i="1"/>
  <c r="P186" i="1"/>
  <c r="Q186" i="1" s="1"/>
  <c r="M178" i="1"/>
  <c r="P178" i="1"/>
  <c r="Q178" i="1" s="1"/>
  <c r="P170" i="1"/>
  <c r="Q170" i="1" s="1"/>
  <c r="M170" i="1"/>
  <c r="M162" i="1"/>
  <c r="M154" i="1"/>
  <c r="M146" i="1"/>
  <c r="P146" i="1"/>
  <c r="Q146" i="1" s="1"/>
  <c r="M138" i="1"/>
  <c r="M122" i="1"/>
  <c r="P122" i="1"/>
  <c r="Q122" i="1" s="1"/>
  <c r="P114" i="1"/>
  <c r="Q114" i="1" s="1"/>
  <c r="M114" i="1"/>
  <c r="M106" i="1"/>
  <c r="P106" i="1"/>
  <c r="Q106" i="1" s="1"/>
  <c r="P98" i="1"/>
  <c r="Q98" i="1" s="1"/>
  <c r="M98" i="1"/>
  <c r="M90" i="1"/>
  <c r="M82" i="1"/>
  <c r="P74" i="1"/>
  <c r="Q74" i="1" s="1"/>
  <c r="M74" i="1"/>
  <c r="M58" i="1"/>
  <c r="P58" i="1"/>
  <c r="Q58" i="1" s="1"/>
  <c r="P50" i="1"/>
  <c r="Q50" i="1" s="1"/>
  <c r="M50" i="1"/>
  <c r="M42" i="1"/>
  <c r="P42" i="1"/>
  <c r="Q42" i="1" s="1"/>
  <c r="M34" i="1"/>
  <c r="M26" i="1"/>
  <c r="M18" i="1"/>
  <c r="P10" i="1"/>
  <c r="Q10" i="1" s="1"/>
  <c r="M10" i="1"/>
  <c r="P91" i="1"/>
  <c r="Q91" i="1" s="1"/>
  <c r="P257" i="1"/>
  <c r="Q257" i="1" s="1"/>
  <c r="M257" i="1"/>
  <c r="P249" i="1"/>
  <c r="Q249" i="1" s="1"/>
  <c r="M249" i="1"/>
  <c r="P241" i="1"/>
  <c r="Q241" i="1" s="1"/>
  <c r="M241" i="1"/>
  <c r="P233" i="1"/>
  <c r="Q233" i="1" s="1"/>
  <c r="M233" i="1"/>
  <c r="P225" i="1"/>
  <c r="Q225" i="1" s="1"/>
  <c r="M225" i="1"/>
  <c r="P217" i="1"/>
  <c r="Q217" i="1" s="1"/>
  <c r="M217" i="1"/>
  <c r="P209" i="1"/>
  <c r="Q209" i="1" s="1"/>
  <c r="M209" i="1"/>
  <c r="P201" i="1"/>
  <c r="Q201" i="1" s="1"/>
  <c r="M201" i="1"/>
  <c r="P193" i="1"/>
  <c r="Q193" i="1" s="1"/>
  <c r="M193" i="1"/>
  <c r="P185" i="1"/>
  <c r="Q185" i="1" s="1"/>
  <c r="M185" i="1"/>
  <c r="P177" i="1"/>
  <c r="Q177" i="1" s="1"/>
  <c r="M177" i="1"/>
  <c r="P169" i="1"/>
  <c r="Q169" i="1" s="1"/>
  <c r="M169" i="1"/>
  <c r="P161" i="1"/>
  <c r="Q161" i="1" s="1"/>
  <c r="M161" i="1"/>
  <c r="M153" i="1"/>
  <c r="P153" i="1"/>
  <c r="Q153" i="1" s="1"/>
  <c r="M145" i="1"/>
  <c r="P145" i="1"/>
  <c r="Q145" i="1" s="1"/>
  <c r="P137" i="1"/>
  <c r="Q137" i="1" s="1"/>
  <c r="M137" i="1"/>
  <c r="M129" i="1"/>
  <c r="P129" i="1"/>
  <c r="Q129" i="1" s="1"/>
  <c r="M121" i="1"/>
  <c r="P121" i="1"/>
  <c r="Q121" i="1" s="1"/>
  <c r="P113" i="1"/>
  <c r="Q113" i="1" s="1"/>
  <c r="M113" i="1"/>
  <c r="M97" i="1"/>
  <c r="P97" i="1"/>
  <c r="Q97" i="1" s="1"/>
  <c r="M89" i="1"/>
  <c r="P89" i="1"/>
  <c r="Q89" i="1" s="1"/>
  <c r="M81" i="1"/>
  <c r="P81" i="1"/>
  <c r="Q81" i="1" s="1"/>
  <c r="P73" i="1"/>
  <c r="Q73" i="1" s="1"/>
  <c r="M73" i="1"/>
  <c r="M65" i="1"/>
  <c r="P65" i="1"/>
  <c r="Q65" i="1" s="1"/>
  <c r="M57" i="1"/>
  <c r="P57" i="1"/>
  <c r="Q57" i="1" s="1"/>
  <c r="P49" i="1"/>
  <c r="Q49" i="1" s="1"/>
  <c r="M49" i="1"/>
  <c r="M33" i="1"/>
  <c r="P33" i="1"/>
  <c r="Q33" i="1" s="1"/>
  <c r="M25" i="1"/>
  <c r="P25" i="1"/>
  <c r="Q25" i="1" s="1"/>
  <c r="M17" i="1"/>
  <c r="P17" i="1"/>
  <c r="Q17" i="1" s="1"/>
  <c r="P9" i="1"/>
  <c r="Q9" i="1" s="1"/>
  <c r="M9" i="1"/>
  <c r="P78" i="1"/>
  <c r="Q78" i="1" s="1"/>
  <c r="P256" i="1"/>
  <c r="Q256" i="1" s="1"/>
  <c r="P248" i="1"/>
  <c r="Q248" i="1" s="1"/>
  <c r="M248" i="1"/>
  <c r="P240" i="1"/>
  <c r="Q240" i="1" s="1"/>
  <c r="M240" i="1"/>
  <c r="P232" i="1"/>
  <c r="Q232" i="1" s="1"/>
  <c r="M232" i="1"/>
  <c r="P224" i="1"/>
  <c r="Q224" i="1" s="1"/>
  <c r="M224" i="1"/>
  <c r="P216" i="1"/>
  <c r="Q216" i="1" s="1"/>
  <c r="M216" i="1"/>
  <c r="P208" i="1"/>
  <c r="Q208" i="1" s="1"/>
  <c r="M208" i="1"/>
  <c r="P200" i="1"/>
  <c r="Q200" i="1" s="1"/>
  <c r="M200" i="1"/>
  <c r="P192" i="1"/>
  <c r="Q192" i="1" s="1"/>
  <c r="M192" i="1"/>
  <c r="P184" i="1"/>
  <c r="Q184" i="1" s="1"/>
  <c r="M184" i="1"/>
  <c r="P176" i="1"/>
  <c r="Q176" i="1" s="1"/>
  <c r="M176" i="1"/>
  <c r="P168" i="1"/>
  <c r="Q168" i="1" s="1"/>
  <c r="M168" i="1"/>
  <c r="P160" i="1"/>
  <c r="Q160" i="1" s="1"/>
  <c r="M160" i="1"/>
  <c r="P152" i="1"/>
  <c r="Q152" i="1" s="1"/>
  <c r="M152" i="1"/>
  <c r="P144" i="1"/>
  <c r="Q144" i="1" s="1"/>
  <c r="M144" i="1"/>
  <c r="P136" i="1"/>
  <c r="Q136" i="1" s="1"/>
  <c r="M136" i="1"/>
  <c r="P128" i="1"/>
  <c r="Q128" i="1" s="1"/>
  <c r="M128" i="1"/>
  <c r="P120" i="1"/>
  <c r="Q120" i="1" s="1"/>
  <c r="M120" i="1"/>
  <c r="P112" i="1"/>
  <c r="Q112" i="1" s="1"/>
  <c r="M112" i="1"/>
  <c r="P104" i="1"/>
  <c r="Q104" i="1" s="1"/>
  <c r="M104" i="1"/>
  <c r="P96" i="1"/>
  <c r="Q96" i="1" s="1"/>
  <c r="M96" i="1"/>
  <c r="P88" i="1"/>
  <c r="Q88" i="1" s="1"/>
  <c r="M88" i="1"/>
  <c r="P80" i="1"/>
  <c r="Q80" i="1" s="1"/>
  <c r="M80" i="1"/>
  <c r="P72" i="1"/>
  <c r="Q72" i="1" s="1"/>
  <c r="M72" i="1"/>
  <c r="P64" i="1"/>
  <c r="Q64" i="1" s="1"/>
  <c r="M64" i="1"/>
  <c r="P56" i="1"/>
  <c r="Q56" i="1" s="1"/>
  <c r="M56" i="1"/>
  <c r="P48" i="1"/>
  <c r="Q48" i="1" s="1"/>
  <c r="M48" i="1"/>
  <c r="P40" i="1"/>
  <c r="Q40" i="1" s="1"/>
  <c r="M40" i="1"/>
  <c r="P32" i="1"/>
  <c r="Q32" i="1" s="1"/>
  <c r="M32" i="1"/>
  <c r="P24" i="1"/>
  <c r="Q24" i="1" s="1"/>
  <c r="M24" i="1"/>
  <c r="P16" i="1"/>
  <c r="Q16" i="1" s="1"/>
  <c r="M16" i="1"/>
  <c r="P8" i="1"/>
  <c r="Q8" i="1" s="1"/>
  <c r="M8" i="1"/>
  <c r="P66" i="1"/>
  <c r="Q66" i="1" s="1"/>
  <c r="P255" i="1"/>
  <c r="Q255" i="1" s="1"/>
  <c r="P247" i="1"/>
  <c r="Q247" i="1" s="1"/>
  <c r="P239" i="1"/>
  <c r="Q239" i="1" s="1"/>
  <c r="P231" i="1"/>
  <c r="Q231" i="1" s="1"/>
  <c r="P223" i="1"/>
  <c r="Q223" i="1" s="1"/>
  <c r="P215" i="1"/>
  <c r="Q215" i="1" s="1"/>
  <c r="P207" i="1"/>
  <c r="Q207" i="1" s="1"/>
  <c r="P199" i="1"/>
  <c r="Q199" i="1" s="1"/>
  <c r="P191" i="1"/>
  <c r="Q191" i="1" s="1"/>
  <c r="P183" i="1"/>
  <c r="Q183" i="1" s="1"/>
  <c r="P175" i="1"/>
  <c r="Q175" i="1" s="1"/>
  <c r="P167" i="1"/>
  <c r="Q167" i="1" s="1"/>
  <c r="P159" i="1"/>
  <c r="Q159" i="1" s="1"/>
  <c r="P151" i="1"/>
  <c r="Q151" i="1" s="1"/>
  <c r="P143" i="1"/>
  <c r="Q143" i="1" s="1"/>
  <c r="P135" i="1"/>
  <c r="Q135" i="1" s="1"/>
  <c r="P127" i="1"/>
  <c r="Q127" i="1" s="1"/>
  <c r="P119" i="1"/>
  <c r="Q119" i="1" s="1"/>
  <c r="P111" i="1"/>
  <c r="Q111" i="1" s="1"/>
  <c r="P103" i="1"/>
  <c r="Q103" i="1" s="1"/>
  <c r="P95" i="1"/>
  <c r="Q95" i="1" s="1"/>
  <c r="P87" i="1"/>
  <c r="Q87" i="1" s="1"/>
  <c r="P79" i="1"/>
  <c r="Q79" i="1" s="1"/>
  <c r="P71" i="1"/>
  <c r="Q71" i="1" s="1"/>
  <c r="P63" i="1"/>
  <c r="Q63" i="1" s="1"/>
  <c r="P55" i="1"/>
  <c r="Q55" i="1" s="1"/>
  <c r="P47" i="1"/>
  <c r="Q47" i="1" s="1"/>
  <c r="P39" i="1"/>
  <c r="Q39" i="1" s="1"/>
  <c r="P31" i="1"/>
  <c r="Q31" i="1" s="1"/>
  <c r="P23" i="1"/>
  <c r="Q23" i="1" s="1"/>
  <c r="P15" i="1"/>
  <c r="Q15" i="1" s="1"/>
  <c r="P7" i="1"/>
  <c r="Q7" i="1" s="1"/>
  <c r="M259" i="1"/>
  <c r="P155" i="1"/>
  <c r="Q155" i="1" s="1"/>
  <c r="P52" i="1"/>
  <c r="Q52" i="1" s="1"/>
  <c r="P254" i="1"/>
  <c r="Q254" i="1" s="1"/>
  <c r="P246" i="1"/>
  <c r="Q246" i="1" s="1"/>
  <c r="P238" i="1"/>
  <c r="Q238" i="1" s="1"/>
  <c r="P230" i="1"/>
  <c r="Q230" i="1" s="1"/>
  <c r="P222" i="1"/>
  <c r="Q222" i="1" s="1"/>
  <c r="P214" i="1"/>
  <c r="Q214" i="1" s="1"/>
  <c r="P206" i="1"/>
  <c r="Q206" i="1" s="1"/>
  <c r="P198" i="1"/>
  <c r="Q198" i="1" s="1"/>
  <c r="P190" i="1"/>
  <c r="Q190" i="1" s="1"/>
  <c r="P182" i="1"/>
  <c r="Q182" i="1" s="1"/>
  <c r="P174" i="1"/>
  <c r="Q174" i="1" s="1"/>
  <c r="P166" i="1"/>
  <c r="Q166" i="1" s="1"/>
  <c r="P158" i="1"/>
  <c r="Q158" i="1" s="1"/>
  <c r="P150" i="1"/>
  <c r="Q150" i="1" s="1"/>
  <c r="P134" i="1"/>
  <c r="Q134" i="1" s="1"/>
  <c r="P126" i="1"/>
  <c r="Q126" i="1" s="1"/>
  <c r="P118" i="1"/>
  <c r="Q118" i="1" s="1"/>
  <c r="P110" i="1"/>
  <c r="Q110" i="1" s="1"/>
  <c r="P102" i="1"/>
  <c r="Q102" i="1" s="1"/>
  <c r="P94" i="1"/>
  <c r="Q94" i="1" s="1"/>
  <c r="P86" i="1"/>
  <c r="Q86" i="1" s="1"/>
  <c r="P70" i="1"/>
  <c r="Q70" i="1" s="1"/>
  <c r="P62" i="1"/>
  <c r="Q62" i="1" s="1"/>
  <c r="P54" i="1"/>
  <c r="Q54" i="1" s="1"/>
  <c r="P46" i="1"/>
  <c r="Q46" i="1" s="1"/>
  <c r="P38" i="1"/>
  <c r="Q38" i="1" s="1"/>
  <c r="P30" i="1"/>
  <c r="Q30" i="1" s="1"/>
  <c r="P22" i="1"/>
  <c r="Q22" i="1" s="1"/>
  <c r="P6" i="1"/>
  <c r="Q6" i="1" s="1"/>
  <c r="M256" i="1"/>
  <c r="M116" i="1"/>
  <c r="P142" i="1"/>
  <c r="Q142" i="1" s="1"/>
  <c r="P41" i="1"/>
  <c r="Q41" i="1" s="1"/>
  <c r="P253" i="1"/>
  <c r="Q253" i="1" s="1"/>
  <c r="P245" i="1"/>
  <c r="Q245" i="1" s="1"/>
  <c r="P237" i="1"/>
  <c r="Q237" i="1" s="1"/>
  <c r="P229" i="1"/>
  <c r="Q229" i="1" s="1"/>
  <c r="P221" i="1"/>
  <c r="Q221" i="1" s="1"/>
  <c r="P213" i="1"/>
  <c r="Q213" i="1" s="1"/>
  <c r="P205" i="1"/>
  <c r="Q205" i="1" s="1"/>
  <c r="P197" i="1"/>
  <c r="Q197" i="1" s="1"/>
  <c r="P189" i="1"/>
  <c r="Q189" i="1" s="1"/>
  <c r="P181" i="1"/>
  <c r="Q181" i="1" s="1"/>
  <c r="P173" i="1"/>
  <c r="Q173" i="1" s="1"/>
  <c r="P165" i="1"/>
  <c r="Q165" i="1" s="1"/>
  <c r="P157" i="1"/>
  <c r="Q157" i="1" s="1"/>
  <c r="P149" i="1"/>
  <c r="Q149" i="1" s="1"/>
  <c r="P141" i="1"/>
  <c r="Q141" i="1" s="1"/>
  <c r="P133" i="1"/>
  <c r="Q133" i="1" s="1"/>
  <c r="P125" i="1"/>
  <c r="Q125" i="1" s="1"/>
  <c r="P117" i="1"/>
  <c r="Q117" i="1" s="1"/>
  <c r="P109" i="1"/>
  <c r="Q109" i="1" s="1"/>
  <c r="P101" i="1"/>
  <c r="Q101" i="1" s="1"/>
  <c r="P93" i="1"/>
  <c r="Q93" i="1" s="1"/>
  <c r="P85" i="1"/>
  <c r="Q85" i="1" s="1"/>
  <c r="P77" i="1"/>
  <c r="Q77" i="1" s="1"/>
  <c r="P69" i="1"/>
  <c r="Q69" i="1" s="1"/>
  <c r="P61" i="1"/>
  <c r="Q61" i="1" s="1"/>
  <c r="P53" i="1"/>
  <c r="Q53" i="1" s="1"/>
  <c r="P45" i="1"/>
  <c r="Q45" i="1" s="1"/>
  <c r="P37" i="1"/>
  <c r="Q37" i="1" s="1"/>
  <c r="P29" i="1"/>
  <c r="Q29" i="1" s="1"/>
  <c r="P21" i="1"/>
  <c r="Q21" i="1" s="1"/>
  <c r="P13" i="1"/>
  <c r="Q13" i="1" s="1"/>
  <c r="P5" i="1"/>
  <c r="Q5" i="1" s="1"/>
  <c r="M255" i="1"/>
  <c r="M239" i="1"/>
  <c r="M223" i="1"/>
  <c r="M207" i="1"/>
  <c r="M191" i="1"/>
  <c r="M175" i="1"/>
  <c r="M159" i="1"/>
  <c r="M143" i="1"/>
  <c r="M127" i="1"/>
  <c r="M111" i="1"/>
  <c r="M95" i="1"/>
  <c r="M79" i="1"/>
  <c r="M63" i="1"/>
  <c r="M47" i="1"/>
  <c r="M31" i="1"/>
  <c r="M15" i="1"/>
  <c r="P27" i="1"/>
  <c r="Q27" i="1" s="1"/>
  <c r="P252" i="1"/>
  <c r="Q252" i="1" s="1"/>
  <c r="P244" i="1"/>
  <c r="Q244" i="1" s="1"/>
  <c r="P220" i="1"/>
  <c r="Q220" i="1" s="1"/>
  <c r="P212" i="1"/>
  <c r="Q212" i="1" s="1"/>
  <c r="P204" i="1"/>
  <c r="Q204" i="1" s="1"/>
  <c r="P188" i="1"/>
  <c r="Q188" i="1" s="1"/>
  <c r="P180" i="1"/>
  <c r="Q180" i="1" s="1"/>
  <c r="P172" i="1"/>
  <c r="Q172" i="1" s="1"/>
  <c r="P164" i="1"/>
  <c r="Q164" i="1" s="1"/>
  <c r="P156" i="1"/>
  <c r="Q156" i="1" s="1"/>
  <c r="P124" i="1"/>
  <c r="Q124" i="1" s="1"/>
  <c r="P108" i="1"/>
  <c r="Q108" i="1" s="1"/>
  <c r="P100" i="1"/>
  <c r="Q100" i="1" s="1"/>
  <c r="P92" i="1"/>
  <c r="Q92" i="1" s="1"/>
  <c r="P68" i="1"/>
  <c r="Q68" i="1" s="1"/>
  <c r="P60" i="1"/>
  <c r="Q60" i="1" s="1"/>
  <c r="P44" i="1"/>
  <c r="Q44" i="1" s="1"/>
  <c r="P36" i="1"/>
  <c r="Q36" i="1" s="1"/>
  <c r="P28" i="1"/>
  <c r="Q28" i="1" s="1"/>
  <c r="P20" i="1"/>
  <c r="Q20" i="1" s="1"/>
  <c r="P12" i="1"/>
  <c r="Q12" i="1" s="1"/>
  <c r="P4" i="1"/>
  <c r="Q4" i="1" s="1"/>
  <c r="M254" i="1"/>
  <c r="M238" i="1"/>
  <c r="M222" i="1"/>
  <c r="M206" i="1"/>
  <c r="M190" i="1"/>
  <c r="M174" i="1"/>
  <c r="M158" i="1"/>
  <c r="M126" i="1"/>
  <c r="M110" i="1"/>
  <c r="M94" i="1"/>
  <c r="M62" i="1"/>
  <c r="M46" i="1"/>
  <c r="M30" i="1"/>
  <c r="M14" i="1"/>
  <c r="P2" i="1"/>
  <c r="Q2" i="1" s="1"/>
  <c r="M2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P196" i="1" l="1"/>
  <c r="Q196" i="1" s="1"/>
  <c r="M780" i="1"/>
  <c r="P474" i="1"/>
  <c r="Q474" i="1" s="1"/>
  <c r="P408" i="1"/>
  <c r="Q408" i="1" s="1"/>
  <c r="M634" i="1"/>
  <c r="M746" i="1"/>
  <c r="M482" i="1"/>
  <c r="P584" i="1"/>
  <c r="Q584" i="1" s="1"/>
  <c r="P274" i="1"/>
  <c r="Q274" i="1" s="1"/>
  <c r="P346" i="1"/>
  <c r="Q346" i="1" s="1"/>
  <c r="P418" i="1"/>
  <c r="Q418" i="1" s="1"/>
  <c r="P666" i="1"/>
  <c r="Q666" i="1" s="1"/>
  <c r="P730" i="1"/>
  <c r="Q730" i="1" s="1"/>
  <c r="P794" i="1"/>
  <c r="Q794" i="1" s="1"/>
  <c r="P392" i="1"/>
  <c r="Q392" i="1" s="1"/>
  <c r="M440" i="1"/>
  <c r="M474" i="1"/>
  <c r="P140" i="1"/>
  <c r="Q140" i="1" s="1"/>
  <c r="P148" i="1"/>
  <c r="Q148" i="1" s="1"/>
  <c r="P84" i="1"/>
  <c r="Q84" i="1" s="1"/>
  <c r="P76" i="1"/>
  <c r="Q76" i="1" s="1"/>
  <c r="P132" i="1"/>
  <c r="Q132" i="1" s="1"/>
  <c r="P314" i="1"/>
  <c r="Q314" i="1" s="1"/>
  <c r="M426" i="1"/>
  <c r="M586" i="1"/>
  <c r="M738" i="1"/>
  <c r="M506" i="1"/>
  <c r="P610" i="1"/>
  <c r="Q610" i="1" s="1"/>
  <c r="M674" i="1"/>
  <c r="P802" i="1"/>
  <c r="Q802" i="1" s="1"/>
  <c r="B17" i="1"/>
  <c r="B18" i="1"/>
  <c r="B20" i="1"/>
  <c r="B19" i="1"/>
  <c r="B22" i="1"/>
  <c r="B23" i="1"/>
  <c r="B24" i="1"/>
  <c r="B25" i="1"/>
  <c r="B27" i="1"/>
  <c r="B28" i="1"/>
  <c r="B29" i="1"/>
  <c r="B30" i="1"/>
  <c r="B32" i="1"/>
  <c r="B38" i="1"/>
  <c r="B35" i="1"/>
  <c r="B34" i="1"/>
  <c r="B33" i="1"/>
  <c r="B37" i="1"/>
  <c r="B40" i="1"/>
  <c r="B39" i="1"/>
  <c r="B42" i="1"/>
  <c r="B45" i="1"/>
  <c r="B44" i="1"/>
  <c r="B36" i="1"/>
  <c r="B59" i="1"/>
  <c r="B60" i="1"/>
  <c r="B57" i="1"/>
  <c r="B58" i="1"/>
  <c r="B62" i="1"/>
  <c r="B63" i="1"/>
  <c r="B64" i="1"/>
  <c r="B65" i="1"/>
  <c r="B69" i="1"/>
  <c r="B70" i="1"/>
  <c r="B67" i="1"/>
  <c r="B68" i="1"/>
  <c r="B13" i="1"/>
  <c r="B14" i="1"/>
  <c r="B15" i="1"/>
  <c r="B10" i="1"/>
  <c r="B9" i="1"/>
  <c r="B8" i="1"/>
  <c r="B7" i="1"/>
  <c r="B5" i="1"/>
  <c r="B4" i="1"/>
  <c r="B3" i="1"/>
  <c r="B2" i="1"/>
  <c r="B6" i="1"/>
  <c r="B43" i="1"/>
  <c r="B16" i="1"/>
  <c r="B26" i="1"/>
  <c r="B56" i="1"/>
  <c r="B52" i="1"/>
  <c r="B53" i="1"/>
  <c r="B54" i="1"/>
  <c r="B55" i="1"/>
  <c r="B46" i="1"/>
  <c r="B47" i="1"/>
  <c r="B48" i="1"/>
  <c r="B49" i="1"/>
  <c r="B50" i="1"/>
  <c r="B66" i="1"/>
  <c r="B72" i="1"/>
  <c r="B77" i="1"/>
  <c r="B78" i="1"/>
  <c r="B79" i="1"/>
  <c r="B80" i="1"/>
  <c r="B73" i="1"/>
  <c r="B74" i="1"/>
  <c r="B75" i="1"/>
  <c r="B76" i="1"/>
  <c r="B90" i="1"/>
  <c r="B89" i="1"/>
  <c r="B87" i="1"/>
  <c r="B88" i="1"/>
  <c r="B82" i="1"/>
  <c r="B83" i="1"/>
  <c r="B84" i="1"/>
  <c r="B85" i="1"/>
  <c r="B86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72" i="1"/>
  <c r="B173" i="1"/>
  <c r="B174" i="1"/>
  <c r="B175" i="1"/>
  <c r="B176" i="1"/>
  <c r="B177" i="1"/>
  <c r="B178" i="1"/>
  <c r="B179" i="1"/>
  <c r="B180" i="1"/>
  <c r="B185" i="1"/>
  <c r="B182" i="1"/>
  <c r="B183" i="1"/>
  <c r="B184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12" i="1"/>
  <c r="B213" i="1"/>
  <c r="B214" i="1"/>
  <c r="B215" i="1"/>
  <c r="B216" i="1"/>
  <c r="B217" i="1"/>
  <c r="B218" i="1"/>
  <c r="B219" i="1"/>
  <c r="B220" i="1"/>
  <c r="B202" i="1"/>
  <c r="B203" i="1"/>
  <c r="B204" i="1"/>
  <c r="B205" i="1"/>
  <c r="B206" i="1"/>
  <c r="B207" i="1"/>
  <c r="B208" i="1"/>
  <c r="B209" i="1"/>
  <c r="B210" i="1"/>
  <c r="B211" i="1"/>
  <c r="B410" i="1"/>
  <c r="B407" i="1"/>
  <c r="B408" i="1"/>
  <c r="B409" i="1"/>
  <c r="B402" i="1"/>
  <c r="B403" i="1"/>
  <c r="B404" i="1"/>
  <c r="B405" i="1"/>
  <c r="B406" i="1"/>
  <c r="B424" i="1"/>
  <c r="B425" i="1"/>
  <c r="B422" i="1"/>
  <c r="B423" i="1"/>
  <c r="B426" i="1"/>
  <c r="B427" i="1"/>
  <c r="B428" i="1"/>
  <c r="B429" i="1"/>
  <c r="B430" i="1"/>
  <c r="B411" i="1"/>
  <c r="B412" i="1"/>
  <c r="B413" i="1"/>
  <c r="B414" i="1"/>
  <c r="B415" i="1"/>
  <c r="B416" i="1"/>
  <c r="B417" i="1"/>
  <c r="B418" i="1"/>
  <c r="B419" i="1"/>
  <c r="B42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21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82" i="1"/>
  <c r="B583" i="1"/>
  <c r="B584" i="1"/>
  <c r="B585" i="1"/>
  <c r="B586" i="1"/>
  <c r="B587" i="1"/>
  <c r="B588" i="1"/>
  <c r="B589" i="1"/>
  <c r="B590" i="1"/>
  <c r="B572" i="1"/>
  <c r="B573" i="1"/>
  <c r="B574" i="1"/>
  <c r="B575" i="1"/>
  <c r="B576" i="1"/>
  <c r="B577" i="1"/>
  <c r="B578" i="1"/>
  <c r="B579" i="1"/>
  <c r="B580" i="1"/>
  <c r="B581" i="1"/>
  <c r="B591" i="1"/>
  <c r="B592" i="1"/>
  <c r="B593" i="1"/>
  <c r="B594" i="1"/>
  <c r="B595" i="1"/>
  <c r="B596" i="1"/>
  <c r="B597" i="1"/>
  <c r="B598" i="1"/>
  <c r="B599" i="1"/>
  <c r="B600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713" i="1"/>
  <c r="B712" i="1"/>
  <c r="B714" i="1"/>
  <c r="B715" i="1"/>
  <c r="B716" i="1"/>
  <c r="B717" i="1"/>
  <c r="B718" i="1"/>
  <c r="B719" i="1"/>
  <c r="B720" i="1"/>
  <c r="B702" i="1"/>
  <c r="B703" i="1"/>
  <c r="B704" i="1"/>
  <c r="B705" i="1"/>
  <c r="B706" i="1"/>
  <c r="B707" i="1"/>
  <c r="B708" i="1"/>
  <c r="B709" i="1"/>
  <c r="B710" i="1"/>
  <c r="B71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21" i="1"/>
  <c r="B990" i="1"/>
  <c r="B989" i="1"/>
  <c r="B987" i="1"/>
  <c r="B988" i="1"/>
  <c r="B982" i="1"/>
  <c r="B983" i="1"/>
  <c r="B984" i="1"/>
  <c r="B985" i="1"/>
  <c r="B986" i="1"/>
  <c r="B972" i="1"/>
  <c r="B973" i="1"/>
  <c r="B974" i="1"/>
  <c r="B975" i="1"/>
  <c r="B976" i="1"/>
  <c r="B977" i="1"/>
  <c r="B978" i="1"/>
  <c r="B979" i="1"/>
  <c r="B980" i="1"/>
  <c r="B981" i="1"/>
  <c r="B991" i="1"/>
  <c r="B992" i="1"/>
  <c r="B993" i="1"/>
  <c r="B994" i="1"/>
  <c r="B995" i="1"/>
  <c r="B996" i="1"/>
  <c r="B997" i="1"/>
  <c r="B998" i="1"/>
  <c r="B999" i="1"/>
  <c r="B1000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10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7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01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401" i="1"/>
  <c r="B345" i="1"/>
  <c r="B346" i="1"/>
  <c r="B347" i="1"/>
  <c r="B348" i="1"/>
  <c r="B349" i="1"/>
  <c r="B350" i="1"/>
  <c r="B351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301" i="1"/>
  <c r="B252" i="1"/>
  <c r="B253" i="1"/>
  <c r="B254" i="1"/>
  <c r="B255" i="1"/>
  <c r="B256" i="1"/>
  <c r="B257" i="1"/>
  <c r="B258" i="1"/>
  <c r="B259" i="1"/>
  <c r="B260" i="1"/>
  <c r="B261" i="1"/>
  <c r="B162" i="1"/>
  <c r="B163" i="1"/>
  <c r="B164" i="1"/>
  <c r="B165" i="1"/>
  <c r="B166" i="1"/>
  <c r="B167" i="1"/>
  <c r="B168" i="1"/>
  <c r="B169" i="1"/>
  <c r="B170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22" i="1"/>
  <c r="B223" i="1"/>
  <c r="B224" i="1"/>
  <c r="B225" i="1"/>
  <c r="B226" i="1"/>
  <c r="B227" i="1"/>
  <c r="B228" i="1"/>
  <c r="B229" i="1"/>
  <c r="B230" i="1"/>
  <c r="B251" i="1"/>
  <c r="B231" i="1"/>
  <c r="B221" i="1"/>
  <c r="B171" i="1"/>
  <c r="B181" i="1"/>
  <c r="B20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61" i="1"/>
  <c r="B141" i="1"/>
  <c r="B121" i="1"/>
  <c r="B101" i="1"/>
  <c r="B91" i="1"/>
  <c r="B81" i="1"/>
  <c r="B71" i="1"/>
  <c r="B61" i="1"/>
  <c r="B11" i="1"/>
  <c r="B51" i="1"/>
  <c r="B41" i="1"/>
  <c r="B31" i="1"/>
  <c r="B21" i="1"/>
  <c r="B1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</calcChain>
</file>

<file path=xl/sharedStrings.xml><?xml version="1.0" encoding="utf-8"?>
<sst xmlns="http://schemas.openxmlformats.org/spreadsheetml/2006/main" count="1027" uniqueCount="37">
  <si>
    <t>region</t>
  </si>
  <si>
    <t>AlNafudDesert</t>
  </si>
  <si>
    <t>Chad</t>
  </si>
  <si>
    <t>GrandErgOccidental</t>
  </si>
  <si>
    <t>GrandErgOrientalAlgeria</t>
  </si>
  <si>
    <t>Karakum</t>
  </si>
  <si>
    <t>LencoisMaranhensesBrazil</t>
  </si>
  <si>
    <t>LutDesert</t>
  </si>
  <si>
    <t>Namib</t>
  </si>
  <si>
    <t>RegistanDesert</t>
  </si>
  <si>
    <t>RubAlKhali</t>
  </si>
  <si>
    <t>Taklamakan</t>
  </si>
  <si>
    <t>Tengger</t>
  </si>
  <si>
    <t>Thar</t>
  </si>
  <si>
    <t>WesternSahara</t>
  </si>
  <si>
    <t>WhiteSands</t>
  </si>
  <si>
    <t>real incipient wavelength (m)</t>
  </si>
  <si>
    <t>model incipient wavelength (all)</t>
  </si>
  <si>
    <t>modern real wavelength (m)</t>
  </si>
  <si>
    <t>model t0 value (years)</t>
  </si>
  <si>
    <t>model t0 value (hours)</t>
  </si>
  <si>
    <t>model t0 at modern wavelength equivalent</t>
  </si>
  <si>
    <t>intermittency (%)</t>
  </si>
  <si>
    <t>age estimate (years)</t>
  </si>
  <si>
    <t>age estimate x intermittency</t>
  </si>
  <si>
    <t>timestep x 10^3</t>
  </si>
  <si>
    <t>wavelength (l0)</t>
  </si>
  <si>
    <t>timestep</t>
  </si>
  <si>
    <t>l0 value in m</t>
  </si>
  <si>
    <t>average uc</t>
  </si>
  <si>
    <t>average u*</t>
  </si>
  <si>
    <t>(uc/u*)^2</t>
  </si>
  <si>
    <t>T1</t>
  </si>
  <si>
    <t>~15</t>
  </si>
  <si>
    <t>qsat/q0sat</t>
  </si>
  <si>
    <t>model modern wavelength equivalent (l0)</t>
  </si>
  <si>
    <t>real flux (m^2/s)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</si>
</sst>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wavelength (l0)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0.13320406824146983"/>
                  <c:y val="0.328530548264800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Sheet1!$A$2:$A$1006</c:f>
              <c:numCache>
                <c:formatCode>General</c:formatCode>
                <c:ptCount val="100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xVal>
          <c:yVal>
            <c:numRef>
              <c:f>Sheet1!$B$2:$B$1006</c:f>
              <c:numCache>
                <c:formatCode>General</c:formatCode>
                <c:ptCount val="1005"/>
                <c:pt idx="0">
                  <c:v>41.666666666666664</c:v>
                </c:pt>
                <c:pt idx="1">
                  <c:v>42.25352112676056</c:v>
                </c:pt>
                <c:pt idx="2">
                  <c:v>46.153846153846153</c:v>
                </c:pt>
                <c:pt idx="3">
                  <c:v>48.387096774193552</c:v>
                </c:pt>
                <c:pt idx="4">
                  <c:v>50</c:v>
                </c:pt>
                <c:pt idx="5">
                  <c:v>50</c:v>
                </c:pt>
                <c:pt idx="6">
                  <c:v>56.60377358490566</c:v>
                </c:pt>
                <c:pt idx="7">
                  <c:v>57.692307692307693</c:v>
                </c:pt>
                <c:pt idx="8">
                  <c:v>60</c:v>
                </c:pt>
                <c:pt idx="9">
                  <c:v>61.224489795918366</c:v>
                </c:pt>
                <c:pt idx="10">
                  <c:v>65.217391304347828</c:v>
                </c:pt>
                <c:pt idx="11">
                  <c:v>68.181818181818187</c:v>
                </c:pt>
                <c:pt idx="12">
                  <c:v>69.767441860465112</c:v>
                </c:pt>
                <c:pt idx="13">
                  <c:v>69.767441860465112</c:v>
                </c:pt>
                <c:pt idx="14">
                  <c:v>71.428571428571431</c:v>
                </c:pt>
                <c:pt idx="15">
                  <c:v>73.170731707317074</c:v>
                </c:pt>
                <c:pt idx="16">
                  <c:v>73.170731707317074</c:v>
                </c:pt>
                <c:pt idx="17">
                  <c:v>75</c:v>
                </c:pt>
                <c:pt idx="18">
                  <c:v>76.92307692307692</c:v>
                </c:pt>
                <c:pt idx="19">
                  <c:v>76.92307692307692</c:v>
                </c:pt>
                <c:pt idx="20">
                  <c:v>76.92307692307692</c:v>
                </c:pt>
                <c:pt idx="21">
                  <c:v>78.94736842105263</c:v>
                </c:pt>
                <c:pt idx="22">
                  <c:v>78.94736842105263</c:v>
                </c:pt>
                <c:pt idx="23">
                  <c:v>78.94736842105263</c:v>
                </c:pt>
                <c:pt idx="24">
                  <c:v>78.94736842105263</c:v>
                </c:pt>
                <c:pt idx="25">
                  <c:v>81.081081081081081</c:v>
                </c:pt>
                <c:pt idx="26">
                  <c:v>81.081081081081081</c:v>
                </c:pt>
                <c:pt idx="27">
                  <c:v>81.081081081081081</c:v>
                </c:pt>
                <c:pt idx="28">
                  <c:v>81.081081081081081</c:v>
                </c:pt>
                <c:pt idx="29">
                  <c:v>81.081081081081081</c:v>
                </c:pt>
                <c:pt idx="30">
                  <c:v>83.333333333333329</c:v>
                </c:pt>
                <c:pt idx="31">
                  <c:v>83.333333333333329</c:v>
                </c:pt>
                <c:pt idx="32">
                  <c:v>83.333333333333329</c:v>
                </c:pt>
                <c:pt idx="33">
                  <c:v>85.714285714285708</c:v>
                </c:pt>
                <c:pt idx="34">
                  <c:v>85.714285714285708</c:v>
                </c:pt>
                <c:pt idx="35">
                  <c:v>85.714285714285708</c:v>
                </c:pt>
                <c:pt idx="36">
                  <c:v>85.714285714285708</c:v>
                </c:pt>
                <c:pt idx="37">
                  <c:v>85.714285714285708</c:v>
                </c:pt>
                <c:pt idx="38">
                  <c:v>88.235294117647058</c:v>
                </c:pt>
                <c:pt idx="39">
                  <c:v>90.909090909090907</c:v>
                </c:pt>
                <c:pt idx="40">
                  <c:v>90.909090909090907</c:v>
                </c:pt>
                <c:pt idx="41">
                  <c:v>93.75</c:v>
                </c:pt>
                <c:pt idx="42">
                  <c:v>93.75</c:v>
                </c:pt>
                <c:pt idx="43">
                  <c:v>93.75</c:v>
                </c:pt>
                <c:pt idx="44">
                  <c:v>96.774193548387103</c:v>
                </c:pt>
                <c:pt idx="45">
                  <c:v>96.774193548387103</c:v>
                </c:pt>
                <c:pt idx="46">
                  <c:v>96.774193548387103</c:v>
                </c:pt>
                <c:pt idx="47">
                  <c:v>96.774193548387103</c:v>
                </c:pt>
                <c:pt idx="48">
                  <c:v>96.774193548387103</c:v>
                </c:pt>
                <c:pt idx="49">
                  <c:v>96.774193548387103</c:v>
                </c:pt>
                <c:pt idx="50">
                  <c:v>96.774193548387103</c:v>
                </c:pt>
                <c:pt idx="51">
                  <c:v>96.774193548387103</c:v>
                </c:pt>
                <c:pt idx="52">
                  <c:v>96.774193548387103</c:v>
                </c:pt>
                <c:pt idx="53">
                  <c:v>96.774193548387103</c:v>
                </c:pt>
                <c:pt idx="54">
                  <c:v>96.774193548387103</c:v>
                </c:pt>
                <c:pt idx="55">
                  <c:v>96.774193548387103</c:v>
                </c:pt>
                <c:pt idx="56">
                  <c:v>96.774193548387103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103.44827586206897</c:v>
                </c:pt>
                <c:pt idx="61">
                  <c:v>103.44827586206897</c:v>
                </c:pt>
                <c:pt idx="62">
                  <c:v>103.44827586206897</c:v>
                </c:pt>
                <c:pt idx="63">
                  <c:v>103.44827586206897</c:v>
                </c:pt>
                <c:pt idx="64">
                  <c:v>103.44827586206897</c:v>
                </c:pt>
                <c:pt idx="65">
                  <c:v>103.44827586206897</c:v>
                </c:pt>
                <c:pt idx="66">
                  <c:v>103.44827586206897</c:v>
                </c:pt>
                <c:pt idx="67">
                  <c:v>107.14285714285714</c:v>
                </c:pt>
                <c:pt idx="68">
                  <c:v>107.14285714285714</c:v>
                </c:pt>
                <c:pt idx="69">
                  <c:v>107.14285714285714</c:v>
                </c:pt>
                <c:pt idx="70">
                  <c:v>111.11111111111111</c:v>
                </c:pt>
                <c:pt idx="71">
                  <c:v>111.11111111111111</c:v>
                </c:pt>
                <c:pt idx="72">
                  <c:v>111.11111111111111</c:v>
                </c:pt>
                <c:pt idx="73">
                  <c:v>111.11111111111111</c:v>
                </c:pt>
                <c:pt idx="74">
                  <c:v>111.11111111111111</c:v>
                </c:pt>
                <c:pt idx="75">
                  <c:v>111.11111111111111</c:v>
                </c:pt>
                <c:pt idx="76">
                  <c:v>115.38461538461539</c:v>
                </c:pt>
                <c:pt idx="77">
                  <c:v>115.38461538461539</c:v>
                </c:pt>
                <c:pt idx="78">
                  <c:v>115.38461538461539</c:v>
                </c:pt>
                <c:pt idx="79">
                  <c:v>115.38461538461539</c:v>
                </c:pt>
                <c:pt idx="80">
                  <c:v>115.38461538461539</c:v>
                </c:pt>
                <c:pt idx="81">
                  <c:v>115.38461538461539</c:v>
                </c:pt>
                <c:pt idx="82">
                  <c:v>115.38461538461539</c:v>
                </c:pt>
                <c:pt idx="83">
                  <c:v>115.38461538461539</c:v>
                </c:pt>
                <c:pt idx="84">
                  <c:v>115.38461538461539</c:v>
                </c:pt>
                <c:pt idx="85">
                  <c:v>115.38461538461539</c:v>
                </c:pt>
                <c:pt idx="86">
                  <c:v>115.38461538461539</c:v>
                </c:pt>
                <c:pt idx="87">
                  <c:v>115.38461538461539</c:v>
                </c:pt>
                <c:pt idx="88">
                  <c:v>115.38461538461539</c:v>
                </c:pt>
                <c:pt idx="89">
                  <c:v>120</c:v>
                </c:pt>
                <c:pt idx="90">
                  <c:v>120</c:v>
                </c:pt>
                <c:pt idx="91">
                  <c:v>120</c:v>
                </c:pt>
                <c:pt idx="92">
                  <c:v>120</c:v>
                </c:pt>
                <c:pt idx="93">
                  <c:v>120</c:v>
                </c:pt>
                <c:pt idx="94">
                  <c:v>120</c:v>
                </c:pt>
                <c:pt idx="95">
                  <c:v>120</c:v>
                </c:pt>
                <c:pt idx="96">
                  <c:v>120</c:v>
                </c:pt>
                <c:pt idx="97">
                  <c:v>120</c:v>
                </c:pt>
                <c:pt idx="98">
                  <c:v>120</c:v>
                </c:pt>
                <c:pt idx="99">
                  <c:v>120</c:v>
                </c:pt>
                <c:pt idx="100">
                  <c:v>120</c:v>
                </c:pt>
                <c:pt idx="101">
                  <c:v>120</c:v>
                </c:pt>
                <c:pt idx="102">
                  <c:v>120</c:v>
                </c:pt>
                <c:pt idx="103">
                  <c:v>120</c:v>
                </c:pt>
                <c:pt idx="104">
                  <c:v>120</c:v>
                </c:pt>
                <c:pt idx="105">
                  <c:v>120</c:v>
                </c:pt>
                <c:pt idx="106">
                  <c:v>120</c:v>
                </c:pt>
                <c:pt idx="107">
                  <c:v>120</c:v>
                </c:pt>
                <c:pt idx="108">
                  <c:v>120</c:v>
                </c:pt>
                <c:pt idx="109">
                  <c:v>120</c:v>
                </c:pt>
                <c:pt idx="110">
                  <c:v>120</c:v>
                </c:pt>
                <c:pt idx="111">
                  <c:v>120</c:v>
                </c:pt>
                <c:pt idx="112">
                  <c:v>120</c:v>
                </c:pt>
                <c:pt idx="113">
                  <c:v>120</c:v>
                </c:pt>
                <c:pt idx="114">
                  <c:v>120</c:v>
                </c:pt>
                <c:pt idx="115">
                  <c:v>120</c:v>
                </c:pt>
                <c:pt idx="116">
                  <c:v>120</c:v>
                </c:pt>
                <c:pt idx="117">
                  <c:v>120</c:v>
                </c:pt>
                <c:pt idx="118">
                  <c:v>120</c:v>
                </c:pt>
                <c:pt idx="119">
                  <c:v>120</c:v>
                </c:pt>
                <c:pt idx="120">
                  <c:v>120</c:v>
                </c:pt>
                <c:pt idx="121">
                  <c:v>120</c:v>
                </c:pt>
                <c:pt idx="122">
                  <c:v>120</c:v>
                </c:pt>
                <c:pt idx="123">
                  <c:v>120</c:v>
                </c:pt>
                <c:pt idx="124">
                  <c:v>120</c:v>
                </c:pt>
                <c:pt idx="125">
                  <c:v>120</c:v>
                </c:pt>
                <c:pt idx="126">
                  <c:v>120</c:v>
                </c:pt>
                <c:pt idx="127">
                  <c:v>120</c:v>
                </c:pt>
                <c:pt idx="128">
                  <c:v>120</c:v>
                </c:pt>
                <c:pt idx="129">
                  <c:v>120</c:v>
                </c:pt>
                <c:pt idx="130">
                  <c:v>120</c:v>
                </c:pt>
                <c:pt idx="131">
                  <c:v>120</c:v>
                </c:pt>
                <c:pt idx="132">
                  <c:v>120</c:v>
                </c:pt>
                <c:pt idx="133">
                  <c:v>120</c:v>
                </c:pt>
                <c:pt idx="134">
                  <c:v>120</c:v>
                </c:pt>
                <c:pt idx="135">
                  <c:v>120</c:v>
                </c:pt>
                <c:pt idx="136">
                  <c:v>120</c:v>
                </c:pt>
                <c:pt idx="137">
                  <c:v>120</c:v>
                </c:pt>
                <c:pt idx="138">
                  <c:v>120</c:v>
                </c:pt>
                <c:pt idx="139">
                  <c:v>120</c:v>
                </c:pt>
                <c:pt idx="140">
                  <c:v>120</c:v>
                </c:pt>
                <c:pt idx="141">
                  <c:v>125</c:v>
                </c:pt>
                <c:pt idx="142">
                  <c:v>125</c:v>
                </c:pt>
                <c:pt idx="143">
                  <c:v>125</c:v>
                </c:pt>
                <c:pt idx="144">
                  <c:v>125</c:v>
                </c:pt>
                <c:pt idx="145">
                  <c:v>125</c:v>
                </c:pt>
                <c:pt idx="146">
                  <c:v>125</c:v>
                </c:pt>
                <c:pt idx="147">
                  <c:v>125</c:v>
                </c:pt>
                <c:pt idx="148">
                  <c:v>125</c:v>
                </c:pt>
                <c:pt idx="149">
                  <c:v>125</c:v>
                </c:pt>
                <c:pt idx="150">
                  <c:v>125</c:v>
                </c:pt>
                <c:pt idx="151">
                  <c:v>125</c:v>
                </c:pt>
                <c:pt idx="152">
                  <c:v>125</c:v>
                </c:pt>
                <c:pt idx="153">
                  <c:v>125</c:v>
                </c:pt>
                <c:pt idx="154">
                  <c:v>125</c:v>
                </c:pt>
                <c:pt idx="155">
                  <c:v>125</c:v>
                </c:pt>
                <c:pt idx="156">
                  <c:v>125</c:v>
                </c:pt>
                <c:pt idx="157">
                  <c:v>125</c:v>
                </c:pt>
                <c:pt idx="158">
                  <c:v>125</c:v>
                </c:pt>
                <c:pt idx="159">
                  <c:v>125</c:v>
                </c:pt>
                <c:pt idx="160">
                  <c:v>125</c:v>
                </c:pt>
                <c:pt idx="161">
                  <c:v>125</c:v>
                </c:pt>
                <c:pt idx="162">
                  <c:v>125</c:v>
                </c:pt>
                <c:pt idx="163">
                  <c:v>125</c:v>
                </c:pt>
                <c:pt idx="164">
                  <c:v>125</c:v>
                </c:pt>
                <c:pt idx="165">
                  <c:v>125</c:v>
                </c:pt>
                <c:pt idx="166">
                  <c:v>125</c:v>
                </c:pt>
                <c:pt idx="167">
                  <c:v>125</c:v>
                </c:pt>
                <c:pt idx="168">
                  <c:v>125</c:v>
                </c:pt>
                <c:pt idx="169">
                  <c:v>125</c:v>
                </c:pt>
                <c:pt idx="170">
                  <c:v>130.43478260869566</c:v>
                </c:pt>
                <c:pt idx="171">
                  <c:v>130.43478260869566</c:v>
                </c:pt>
                <c:pt idx="172">
                  <c:v>130.43478260869566</c:v>
                </c:pt>
                <c:pt idx="173">
                  <c:v>130.43478260869566</c:v>
                </c:pt>
                <c:pt idx="174">
                  <c:v>130.43478260869566</c:v>
                </c:pt>
                <c:pt idx="175">
                  <c:v>130.43478260869566</c:v>
                </c:pt>
                <c:pt idx="176">
                  <c:v>130.43478260869566</c:v>
                </c:pt>
                <c:pt idx="177">
                  <c:v>130.43478260869566</c:v>
                </c:pt>
                <c:pt idx="178">
                  <c:v>130.43478260869566</c:v>
                </c:pt>
                <c:pt idx="179">
                  <c:v>130.43478260869566</c:v>
                </c:pt>
                <c:pt idx="180">
                  <c:v>130.43478260869566</c:v>
                </c:pt>
                <c:pt idx="181">
                  <c:v>130.43478260869566</c:v>
                </c:pt>
                <c:pt idx="182">
                  <c:v>130.43478260869566</c:v>
                </c:pt>
                <c:pt idx="183">
                  <c:v>130.43478260869566</c:v>
                </c:pt>
                <c:pt idx="184">
                  <c:v>136.36363636363637</c:v>
                </c:pt>
                <c:pt idx="185">
                  <c:v>136.36363636363637</c:v>
                </c:pt>
                <c:pt idx="186">
                  <c:v>136.36363636363637</c:v>
                </c:pt>
                <c:pt idx="187">
                  <c:v>136.36363636363637</c:v>
                </c:pt>
                <c:pt idx="188">
                  <c:v>136.36363636363637</c:v>
                </c:pt>
                <c:pt idx="189">
                  <c:v>136.36363636363637</c:v>
                </c:pt>
                <c:pt idx="190">
                  <c:v>136.36363636363637</c:v>
                </c:pt>
                <c:pt idx="191">
                  <c:v>136.36363636363637</c:v>
                </c:pt>
                <c:pt idx="192">
                  <c:v>136.36363636363637</c:v>
                </c:pt>
                <c:pt idx="193">
                  <c:v>136.36363636363637</c:v>
                </c:pt>
                <c:pt idx="194">
                  <c:v>136.36363636363637</c:v>
                </c:pt>
                <c:pt idx="195">
                  <c:v>136.36363636363637</c:v>
                </c:pt>
                <c:pt idx="196">
                  <c:v>136.36363636363637</c:v>
                </c:pt>
                <c:pt idx="197">
                  <c:v>136.36363636363637</c:v>
                </c:pt>
                <c:pt idx="198">
                  <c:v>136.36363636363637</c:v>
                </c:pt>
                <c:pt idx="199">
                  <c:v>136.36363636363637</c:v>
                </c:pt>
                <c:pt idx="200">
                  <c:v>136.36363636363637</c:v>
                </c:pt>
                <c:pt idx="201">
                  <c:v>136.36363636363637</c:v>
                </c:pt>
                <c:pt idx="202">
                  <c:v>136.36363636363637</c:v>
                </c:pt>
                <c:pt idx="203">
                  <c:v>136.36363636363637</c:v>
                </c:pt>
                <c:pt idx="204">
                  <c:v>136.36363636363637</c:v>
                </c:pt>
                <c:pt idx="205">
                  <c:v>136.36363636363637</c:v>
                </c:pt>
                <c:pt idx="206">
                  <c:v>136.36363636363637</c:v>
                </c:pt>
                <c:pt idx="207">
                  <c:v>136.36363636363637</c:v>
                </c:pt>
                <c:pt idx="208">
                  <c:v>136.36363636363637</c:v>
                </c:pt>
                <c:pt idx="209">
                  <c:v>136.36363636363637</c:v>
                </c:pt>
                <c:pt idx="210">
                  <c:v>142.85714285714286</c:v>
                </c:pt>
                <c:pt idx="211">
                  <c:v>142.85714285714286</c:v>
                </c:pt>
                <c:pt idx="212">
                  <c:v>142.85714285714286</c:v>
                </c:pt>
                <c:pt idx="213">
                  <c:v>142.85714285714286</c:v>
                </c:pt>
                <c:pt idx="214">
                  <c:v>142.85714285714286</c:v>
                </c:pt>
                <c:pt idx="215">
                  <c:v>142.85714285714286</c:v>
                </c:pt>
                <c:pt idx="216">
                  <c:v>142.85714285714286</c:v>
                </c:pt>
                <c:pt idx="217">
                  <c:v>142.85714285714286</c:v>
                </c:pt>
                <c:pt idx="218">
                  <c:v>142.85714285714286</c:v>
                </c:pt>
                <c:pt idx="219">
                  <c:v>142.85714285714286</c:v>
                </c:pt>
                <c:pt idx="220">
                  <c:v>142.85714285714286</c:v>
                </c:pt>
                <c:pt idx="221">
                  <c:v>142.85714285714286</c:v>
                </c:pt>
                <c:pt idx="222">
                  <c:v>142.85714285714286</c:v>
                </c:pt>
                <c:pt idx="223">
                  <c:v>142.85714285714286</c:v>
                </c:pt>
                <c:pt idx="224">
                  <c:v>142.85714285714286</c:v>
                </c:pt>
                <c:pt idx="225">
                  <c:v>142.85714285714286</c:v>
                </c:pt>
                <c:pt idx="226">
                  <c:v>142.85714285714286</c:v>
                </c:pt>
                <c:pt idx="227">
                  <c:v>142.85714285714286</c:v>
                </c:pt>
                <c:pt idx="228">
                  <c:v>142.85714285714286</c:v>
                </c:pt>
                <c:pt idx="229">
                  <c:v>142.85714285714286</c:v>
                </c:pt>
                <c:pt idx="230">
                  <c:v>142.85714285714286</c:v>
                </c:pt>
                <c:pt idx="231">
                  <c:v>142.85714285714286</c:v>
                </c:pt>
                <c:pt idx="232">
                  <c:v>142.85714285714286</c:v>
                </c:pt>
                <c:pt idx="233">
                  <c:v>142.85714285714286</c:v>
                </c:pt>
                <c:pt idx="234">
                  <c:v>142.85714285714286</c:v>
                </c:pt>
                <c:pt idx="235">
                  <c:v>142.85714285714286</c:v>
                </c:pt>
                <c:pt idx="236">
                  <c:v>142.85714285714286</c:v>
                </c:pt>
                <c:pt idx="237">
                  <c:v>142.85714285714286</c:v>
                </c:pt>
                <c:pt idx="238">
                  <c:v>142.85714285714286</c:v>
                </c:pt>
                <c:pt idx="239">
                  <c:v>142.85714285714286</c:v>
                </c:pt>
                <c:pt idx="240">
                  <c:v>142.85714285714286</c:v>
                </c:pt>
                <c:pt idx="241">
                  <c:v>142.85714285714286</c:v>
                </c:pt>
                <c:pt idx="242">
                  <c:v>142.85714285714286</c:v>
                </c:pt>
                <c:pt idx="243">
                  <c:v>142.85714285714286</c:v>
                </c:pt>
                <c:pt idx="244">
                  <c:v>142.85714285714286</c:v>
                </c:pt>
                <c:pt idx="245">
                  <c:v>142.85714285714286</c:v>
                </c:pt>
                <c:pt idx="246">
                  <c:v>142.85714285714286</c:v>
                </c:pt>
                <c:pt idx="247">
                  <c:v>142.85714285714286</c:v>
                </c:pt>
                <c:pt idx="248">
                  <c:v>142.85714285714286</c:v>
                </c:pt>
                <c:pt idx="249">
                  <c:v>142.85714285714286</c:v>
                </c:pt>
                <c:pt idx="250">
                  <c:v>142.85714285714286</c:v>
                </c:pt>
                <c:pt idx="251">
                  <c:v>142.85714285714286</c:v>
                </c:pt>
                <c:pt idx="252">
                  <c:v>142.85714285714286</c:v>
                </c:pt>
                <c:pt idx="253">
                  <c:v>142.85714285714286</c:v>
                </c:pt>
                <c:pt idx="254">
                  <c:v>142.85714285714286</c:v>
                </c:pt>
                <c:pt idx="255">
                  <c:v>142.85714285714286</c:v>
                </c:pt>
                <c:pt idx="256">
                  <c:v>142.85714285714286</c:v>
                </c:pt>
                <c:pt idx="257">
                  <c:v>142.85714285714286</c:v>
                </c:pt>
                <c:pt idx="258">
                  <c:v>142.85714285714286</c:v>
                </c:pt>
                <c:pt idx="259">
                  <c:v>142.85714285714286</c:v>
                </c:pt>
                <c:pt idx="260">
                  <c:v>142.85714285714286</c:v>
                </c:pt>
                <c:pt idx="261">
                  <c:v>142.85714285714286</c:v>
                </c:pt>
                <c:pt idx="262">
                  <c:v>142.85714285714286</c:v>
                </c:pt>
                <c:pt idx="263">
                  <c:v>142.85714285714286</c:v>
                </c:pt>
                <c:pt idx="264">
                  <c:v>142.85714285714286</c:v>
                </c:pt>
                <c:pt idx="265">
                  <c:v>142.85714285714286</c:v>
                </c:pt>
                <c:pt idx="266">
                  <c:v>142.85714285714286</c:v>
                </c:pt>
                <c:pt idx="267">
                  <c:v>142.85714285714286</c:v>
                </c:pt>
                <c:pt idx="268">
                  <c:v>142.85714285714286</c:v>
                </c:pt>
                <c:pt idx="269">
                  <c:v>142.85714285714286</c:v>
                </c:pt>
                <c:pt idx="270">
                  <c:v>142.85714285714286</c:v>
                </c:pt>
                <c:pt idx="271">
                  <c:v>142.85714285714286</c:v>
                </c:pt>
                <c:pt idx="272">
                  <c:v>142.85714285714286</c:v>
                </c:pt>
                <c:pt idx="273">
                  <c:v>142.85714285714286</c:v>
                </c:pt>
                <c:pt idx="274">
                  <c:v>142.85714285714286</c:v>
                </c:pt>
                <c:pt idx="275">
                  <c:v>142.85714285714286</c:v>
                </c:pt>
                <c:pt idx="276">
                  <c:v>142.85714285714286</c:v>
                </c:pt>
                <c:pt idx="277">
                  <c:v>142.85714285714286</c:v>
                </c:pt>
                <c:pt idx="278">
                  <c:v>142.85714285714286</c:v>
                </c:pt>
                <c:pt idx="279">
                  <c:v>142.85714285714286</c:v>
                </c:pt>
                <c:pt idx="280">
                  <c:v>142.85714285714286</c:v>
                </c:pt>
                <c:pt idx="281">
                  <c:v>142.85714285714286</c:v>
                </c:pt>
                <c:pt idx="282">
                  <c:v>142.85714285714286</c:v>
                </c:pt>
                <c:pt idx="283">
                  <c:v>142.85714285714286</c:v>
                </c:pt>
                <c:pt idx="284">
                  <c:v>142.85714285714286</c:v>
                </c:pt>
                <c:pt idx="285">
                  <c:v>142.85714285714286</c:v>
                </c:pt>
                <c:pt idx="286">
                  <c:v>142.85714285714286</c:v>
                </c:pt>
                <c:pt idx="287">
                  <c:v>142.85714285714286</c:v>
                </c:pt>
                <c:pt idx="288">
                  <c:v>142.85714285714286</c:v>
                </c:pt>
                <c:pt idx="289">
                  <c:v>142.85714285714286</c:v>
                </c:pt>
                <c:pt idx="290">
                  <c:v>142.85714285714286</c:v>
                </c:pt>
                <c:pt idx="291">
                  <c:v>142.85714285714286</c:v>
                </c:pt>
                <c:pt idx="292">
                  <c:v>142.85714285714286</c:v>
                </c:pt>
                <c:pt idx="293">
                  <c:v>142.85714285714286</c:v>
                </c:pt>
                <c:pt idx="294">
                  <c:v>142.85714285714286</c:v>
                </c:pt>
                <c:pt idx="295">
                  <c:v>142.85714285714286</c:v>
                </c:pt>
                <c:pt idx="296">
                  <c:v>142.85714285714286</c:v>
                </c:pt>
                <c:pt idx="297">
                  <c:v>142.85714285714286</c:v>
                </c:pt>
                <c:pt idx="298">
                  <c:v>142.85714285714286</c:v>
                </c:pt>
                <c:pt idx="299">
                  <c:v>142.85714285714286</c:v>
                </c:pt>
                <c:pt idx="300">
                  <c:v>142.85714285714286</c:v>
                </c:pt>
                <c:pt idx="301">
                  <c:v>142.85714285714286</c:v>
                </c:pt>
                <c:pt idx="302">
                  <c:v>142.85714285714286</c:v>
                </c:pt>
                <c:pt idx="303">
                  <c:v>142.85714285714286</c:v>
                </c:pt>
                <c:pt idx="304">
                  <c:v>142.85714285714286</c:v>
                </c:pt>
                <c:pt idx="305">
                  <c:v>142.85714285714286</c:v>
                </c:pt>
                <c:pt idx="306">
                  <c:v>142.85714285714286</c:v>
                </c:pt>
                <c:pt idx="307">
                  <c:v>142.85714285714286</c:v>
                </c:pt>
                <c:pt idx="308">
                  <c:v>142.85714285714286</c:v>
                </c:pt>
                <c:pt idx="309">
                  <c:v>142.85714285714286</c:v>
                </c:pt>
                <c:pt idx="310">
                  <c:v>142.85714285714286</c:v>
                </c:pt>
                <c:pt idx="311">
                  <c:v>142.85714285714286</c:v>
                </c:pt>
                <c:pt idx="312">
                  <c:v>142.85714285714286</c:v>
                </c:pt>
                <c:pt idx="313">
                  <c:v>142.85714285714286</c:v>
                </c:pt>
                <c:pt idx="314">
                  <c:v>142.85714285714286</c:v>
                </c:pt>
                <c:pt idx="315">
                  <c:v>142.85714285714286</c:v>
                </c:pt>
                <c:pt idx="316">
                  <c:v>142.85714285714286</c:v>
                </c:pt>
                <c:pt idx="317">
                  <c:v>142.85714285714286</c:v>
                </c:pt>
                <c:pt idx="318">
                  <c:v>142.85714285714286</c:v>
                </c:pt>
                <c:pt idx="319">
                  <c:v>142.85714285714286</c:v>
                </c:pt>
                <c:pt idx="320">
                  <c:v>142.85714285714286</c:v>
                </c:pt>
                <c:pt idx="321">
                  <c:v>142.85714285714286</c:v>
                </c:pt>
                <c:pt idx="322">
                  <c:v>142.85714285714286</c:v>
                </c:pt>
                <c:pt idx="323">
                  <c:v>142.85714285714286</c:v>
                </c:pt>
                <c:pt idx="324">
                  <c:v>142.85714285714286</c:v>
                </c:pt>
                <c:pt idx="325">
                  <c:v>142.85714285714286</c:v>
                </c:pt>
                <c:pt idx="326">
                  <c:v>142.85714285714286</c:v>
                </c:pt>
                <c:pt idx="327">
                  <c:v>142.85714285714286</c:v>
                </c:pt>
                <c:pt idx="328">
                  <c:v>142.85714285714286</c:v>
                </c:pt>
                <c:pt idx="329">
                  <c:v>142.85714285714286</c:v>
                </c:pt>
                <c:pt idx="330">
                  <c:v>142.85714285714286</c:v>
                </c:pt>
                <c:pt idx="331">
                  <c:v>142.85714285714286</c:v>
                </c:pt>
                <c:pt idx="332">
                  <c:v>142.85714285714286</c:v>
                </c:pt>
                <c:pt idx="333">
                  <c:v>142.85714285714286</c:v>
                </c:pt>
                <c:pt idx="334">
                  <c:v>142.85714285714286</c:v>
                </c:pt>
                <c:pt idx="335">
                  <c:v>142.85714285714286</c:v>
                </c:pt>
                <c:pt idx="336">
                  <c:v>142.85714285714286</c:v>
                </c:pt>
                <c:pt idx="337">
                  <c:v>142.85714285714286</c:v>
                </c:pt>
                <c:pt idx="338">
                  <c:v>142.85714285714286</c:v>
                </c:pt>
                <c:pt idx="339">
                  <c:v>142.85714285714286</c:v>
                </c:pt>
                <c:pt idx="340">
                  <c:v>142.85714285714286</c:v>
                </c:pt>
                <c:pt idx="341">
                  <c:v>142.85714285714286</c:v>
                </c:pt>
                <c:pt idx="342">
                  <c:v>142.85714285714286</c:v>
                </c:pt>
                <c:pt idx="343">
                  <c:v>142.85714285714286</c:v>
                </c:pt>
                <c:pt idx="344">
                  <c:v>142.85714285714286</c:v>
                </c:pt>
                <c:pt idx="345">
                  <c:v>142.85714285714286</c:v>
                </c:pt>
                <c:pt idx="346">
                  <c:v>142.85714285714286</c:v>
                </c:pt>
                <c:pt idx="347">
                  <c:v>142.85714285714286</c:v>
                </c:pt>
                <c:pt idx="348">
                  <c:v>142.85714285714286</c:v>
                </c:pt>
                <c:pt idx="349">
                  <c:v>142.85714285714286</c:v>
                </c:pt>
                <c:pt idx="350">
                  <c:v>142.85714285714286</c:v>
                </c:pt>
                <c:pt idx="351">
                  <c:v>142.85714285714286</c:v>
                </c:pt>
                <c:pt idx="352">
                  <c:v>142.85714285714286</c:v>
                </c:pt>
                <c:pt idx="353">
                  <c:v>142.85714285714286</c:v>
                </c:pt>
                <c:pt idx="354">
                  <c:v>142.85714285714286</c:v>
                </c:pt>
                <c:pt idx="355">
                  <c:v>142.85714285714286</c:v>
                </c:pt>
                <c:pt idx="356">
                  <c:v>142.85714285714286</c:v>
                </c:pt>
                <c:pt idx="357">
                  <c:v>142.85714285714286</c:v>
                </c:pt>
                <c:pt idx="358">
                  <c:v>142.85714285714286</c:v>
                </c:pt>
                <c:pt idx="359">
                  <c:v>142.85714285714286</c:v>
                </c:pt>
                <c:pt idx="360">
                  <c:v>142.85714285714286</c:v>
                </c:pt>
                <c:pt idx="361">
                  <c:v>142.85714285714286</c:v>
                </c:pt>
                <c:pt idx="362">
                  <c:v>142.85714285714286</c:v>
                </c:pt>
                <c:pt idx="363">
                  <c:v>142.85714285714286</c:v>
                </c:pt>
                <c:pt idx="364">
                  <c:v>142.85714285714286</c:v>
                </c:pt>
                <c:pt idx="365">
                  <c:v>142.85714285714286</c:v>
                </c:pt>
                <c:pt idx="366">
                  <c:v>142.85714285714286</c:v>
                </c:pt>
                <c:pt idx="367">
                  <c:v>142.85714285714286</c:v>
                </c:pt>
                <c:pt idx="368">
                  <c:v>142.85714285714286</c:v>
                </c:pt>
                <c:pt idx="369">
                  <c:v>142.85714285714286</c:v>
                </c:pt>
                <c:pt idx="370">
                  <c:v>142.85714285714286</c:v>
                </c:pt>
                <c:pt idx="371">
                  <c:v>142.85714285714286</c:v>
                </c:pt>
                <c:pt idx="372">
                  <c:v>142.85714285714286</c:v>
                </c:pt>
                <c:pt idx="373">
                  <c:v>142.85714285714286</c:v>
                </c:pt>
                <c:pt idx="374">
                  <c:v>142.85714285714286</c:v>
                </c:pt>
                <c:pt idx="375">
                  <c:v>142.85714285714286</c:v>
                </c:pt>
                <c:pt idx="376">
                  <c:v>142.85714285714286</c:v>
                </c:pt>
                <c:pt idx="377">
                  <c:v>142.85714285714286</c:v>
                </c:pt>
                <c:pt idx="378">
                  <c:v>142.85714285714286</c:v>
                </c:pt>
                <c:pt idx="379">
                  <c:v>142.85714285714286</c:v>
                </c:pt>
                <c:pt idx="380">
                  <c:v>142.85714285714286</c:v>
                </c:pt>
                <c:pt idx="381">
                  <c:v>142.85714285714286</c:v>
                </c:pt>
                <c:pt idx="382">
                  <c:v>142.85714285714286</c:v>
                </c:pt>
                <c:pt idx="383">
                  <c:v>142.85714285714286</c:v>
                </c:pt>
                <c:pt idx="384">
                  <c:v>142.85714285714286</c:v>
                </c:pt>
                <c:pt idx="385">
                  <c:v>142.85714285714286</c:v>
                </c:pt>
                <c:pt idx="386">
                  <c:v>142.85714285714286</c:v>
                </c:pt>
                <c:pt idx="387">
                  <c:v>142.85714285714286</c:v>
                </c:pt>
                <c:pt idx="388">
                  <c:v>142.85714285714286</c:v>
                </c:pt>
                <c:pt idx="389">
                  <c:v>142.85714285714286</c:v>
                </c:pt>
                <c:pt idx="390">
                  <c:v>142.85714285714286</c:v>
                </c:pt>
                <c:pt idx="391">
                  <c:v>142.85714285714286</c:v>
                </c:pt>
                <c:pt idx="392">
                  <c:v>142.85714285714286</c:v>
                </c:pt>
                <c:pt idx="393">
                  <c:v>142.85714285714286</c:v>
                </c:pt>
                <c:pt idx="394">
                  <c:v>142.85714285714286</c:v>
                </c:pt>
                <c:pt idx="395">
                  <c:v>142.85714285714286</c:v>
                </c:pt>
                <c:pt idx="396">
                  <c:v>142.85714285714286</c:v>
                </c:pt>
                <c:pt idx="397">
                  <c:v>142.85714285714286</c:v>
                </c:pt>
                <c:pt idx="398">
                  <c:v>142.85714285714286</c:v>
                </c:pt>
                <c:pt idx="399">
                  <c:v>142.85714285714286</c:v>
                </c:pt>
                <c:pt idx="400">
                  <c:v>142.85714285714286</c:v>
                </c:pt>
                <c:pt idx="401">
                  <c:v>142.85714285714286</c:v>
                </c:pt>
                <c:pt idx="402">
                  <c:v>142.85714285714286</c:v>
                </c:pt>
                <c:pt idx="403">
                  <c:v>142.85714285714286</c:v>
                </c:pt>
                <c:pt idx="404">
                  <c:v>142.85714285714286</c:v>
                </c:pt>
                <c:pt idx="405">
                  <c:v>142.85714285714286</c:v>
                </c:pt>
                <c:pt idx="406">
                  <c:v>142.85714285714286</c:v>
                </c:pt>
                <c:pt idx="407">
                  <c:v>142.85714285714286</c:v>
                </c:pt>
                <c:pt idx="408">
                  <c:v>150</c:v>
                </c:pt>
                <c:pt idx="409">
                  <c:v>150</c:v>
                </c:pt>
                <c:pt idx="410">
                  <c:v>150</c:v>
                </c:pt>
                <c:pt idx="411">
                  <c:v>150</c:v>
                </c:pt>
                <c:pt idx="412">
                  <c:v>150</c:v>
                </c:pt>
                <c:pt idx="413">
                  <c:v>150</c:v>
                </c:pt>
                <c:pt idx="414">
                  <c:v>150</c:v>
                </c:pt>
                <c:pt idx="415">
                  <c:v>150</c:v>
                </c:pt>
                <c:pt idx="416">
                  <c:v>150</c:v>
                </c:pt>
                <c:pt idx="417">
                  <c:v>150</c:v>
                </c:pt>
                <c:pt idx="418">
                  <c:v>150</c:v>
                </c:pt>
                <c:pt idx="419">
                  <c:v>150</c:v>
                </c:pt>
                <c:pt idx="420">
                  <c:v>150</c:v>
                </c:pt>
                <c:pt idx="421">
                  <c:v>150</c:v>
                </c:pt>
                <c:pt idx="422">
                  <c:v>157.89473684210526</c:v>
                </c:pt>
                <c:pt idx="423">
                  <c:v>157.89473684210526</c:v>
                </c:pt>
                <c:pt idx="424">
                  <c:v>157.89473684210526</c:v>
                </c:pt>
                <c:pt idx="425">
                  <c:v>157.89473684210526</c:v>
                </c:pt>
                <c:pt idx="426">
                  <c:v>157.89473684210526</c:v>
                </c:pt>
                <c:pt idx="427">
                  <c:v>157.89473684210526</c:v>
                </c:pt>
                <c:pt idx="428">
                  <c:v>157.89473684210526</c:v>
                </c:pt>
                <c:pt idx="429">
                  <c:v>157.89473684210526</c:v>
                </c:pt>
                <c:pt idx="430">
                  <c:v>157.89473684210526</c:v>
                </c:pt>
                <c:pt idx="431">
                  <c:v>157.89473684210526</c:v>
                </c:pt>
                <c:pt idx="432">
                  <c:v>157.89473684210526</c:v>
                </c:pt>
                <c:pt idx="433">
                  <c:v>157.89473684210526</c:v>
                </c:pt>
                <c:pt idx="434">
                  <c:v>157.89473684210526</c:v>
                </c:pt>
                <c:pt idx="435">
                  <c:v>157.89473684210526</c:v>
                </c:pt>
                <c:pt idx="436">
                  <c:v>157.89473684210526</c:v>
                </c:pt>
                <c:pt idx="437">
                  <c:v>157.89473684210526</c:v>
                </c:pt>
                <c:pt idx="438">
                  <c:v>157.89473684210526</c:v>
                </c:pt>
                <c:pt idx="439">
                  <c:v>157.89473684210526</c:v>
                </c:pt>
                <c:pt idx="440">
                  <c:v>157.89473684210526</c:v>
                </c:pt>
                <c:pt idx="441">
                  <c:v>157.89473684210526</c:v>
                </c:pt>
                <c:pt idx="442">
                  <c:v>157.89473684210526</c:v>
                </c:pt>
                <c:pt idx="443">
                  <c:v>157.89473684210526</c:v>
                </c:pt>
                <c:pt idx="444">
                  <c:v>157.89473684210526</c:v>
                </c:pt>
                <c:pt idx="445">
                  <c:v>157.89473684210526</c:v>
                </c:pt>
                <c:pt idx="446">
                  <c:v>157.89473684210526</c:v>
                </c:pt>
                <c:pt idx="447">
                  <c:v>157.89473684210526</c:v>
                </c:pt>
                <c:pt idx="448">
                  <c:v>157.89473684210526</c:v>
                </c:pt>
                <c:pt idx="449">
                  <c:v>157.89473684210526</c:v>
                </c:pt>
                <c:pt idx="450">
                  <c:v>157.89473684210526</c:v>
                </c:pt>
                <c:pt idx="451">
                  <c:v>157.89473684210526</c:v>
                </c:pt>
                <c:pt idx="452">
                  <c:v>157.89473684210526</c:v>
                </c:pt>
                <c:pt idx="453">
                  <c:v>157.89473684210526</c:v>
                </c:pt>
                <c:pt idx="454">
                  <c:v>157.89473684210526</c:v>
                </c:pt>
                <c:pt idx="455">
                  <c:v>157.89473684210526</c:v>
                </c:pt>
                <c:pt idx="456">
                  <c:v>157.89473684210526</c:v>
                </c:pt>
                <c:pt idx="457">
                  <c:v>157.89473684210526</c:v>
                </c:pt>
                <c:pt idx="458">
                  <c:v>157.89473684210526</c:v>
                </c:pt>
                <c:pt idx="459">
                  <c:v>157.89473684210526</c:v>
                </c:pt>
                <c:pt idx="460">
                  <c:v>157.89473684210526</c:v>
                </c:pt>
                <c:pt idx="461">
                  <c:v>157.89473684210526</c:v>
                </c:pt>
                <c:pt idx="462">
                  <c:v>157.89473684210526</c:v>
                </c:pt>
                <c:pt idx="463">
                  <c:v>157.89473684210526</c:v>
                </c:pt>
                <c:pt idx="464">
                  <c:v>157.89473684210526</c:v>
                </c:pt>
                <c:pt idx="465">
                  <c:v>157.89473684210526</c:v>
                </c:pt>
                <c:pt idx="466">
                  <c:v>157.89473684210526</c:v>
                </c:pt>
                <c:pt idx="467">
                  <c:v>157.89473684210526</c:v>
                </c:pt>
                <c:pt idx="468">
                  <c:v>157.89473684210526</c:v>
                </c:pt>
                <c:pt idx="469">
                  <c:v>157.89473684210526</c:v>
                </c:pt>
                <c:pt idx="470">
                  <c:v>157.89473684210526</c:v>
                </c:pt>
                <c:pt idx="471">
                  <c:v>157.89473684210526</c:v>
                </c:pt>
                <c:pt idx="472">
                  <c:v>157.89473684210526</c:v>
                </c:pt>
                <c:pt idx="473">
                  <c:v>157.89473684210526</c:v>
                </c:pt>
                <c:pt idx="474">
                  <c:v>157.89473684210526</c:v>
                </c:pt>
                <c:pt idx="475">
                  <c:v>157.89473684210526</c:v>
                </c:pt>
                <c:pt idx="476">
                  <c:v>157.89473684210526</c:v>
                </c:pt>
                <c:pt idx="477">
                  <c:v>157.89473684210526</c:v>
                </c:pt>
                <c:pt idx="478">
                  <c:v>157.89473684210526</c:v>
                </c:pt>
                <c:pt idx="479">
                  <c:v>157.89473684210526</c:v>
                </c:pt>
                <c:pt idx="480">
                  <c:v>157.89473684210526</c:v>
                </c:pt>
                <c:pt idx="481">
                  <c:v>157.89473684210526</c:v>
                </c:pt>
                <c:pt idx="482">
                  <c:v>157.89473684210526</c:v>
                </c:pt>
                <c:pt idx="483">
                  <c:v>157.89473684210526</c:v>
                </c:pt>
                <c:pt idx="484">
                  <c:v>157.89473684210526</c:v>
                </c:pt>
                <c:pt idx="485">
                  <c:v>157.89473684210526</c:v>
                </c:pt>
                <c:pt idx="486">
                  <c:v>157.89473684210526</c:v>
                </c:pt>
                <c:pt idx="487">
                  <c:v>157.89473684210526</c:v>
                </c:pt>
                <c:pt idx="488">
                  <c:v>157.89473684210526</c:v>
                </c:pt>
                <c:pt idx="489">
                  <c:v>157.89473684210526</c:v>
                </c:pt>
                <c:pt idx="490">
                  <c:v>157.89473684210526</c:v>
                </c:pt>
                <c:pt idx="491">
                  <c:v>157.89473684210526</c:v>
                </c:pt>
                <c:pt idx="492">
                  <c:v>157.89473684210526</c:v>
                </c:pt>
                <c:pt idx="493">
                  <c:v>157.89473684210526</c:v>
                </c:pt>
                <c:pt idx="494">
                  <c:v>157.89473684210526</c:v>
                </c:pt>
                <c:pt idx="495">
                  <c:v>157.89473684210526</c:v>
                </c:pt>
                <c:pt idx="496">
                  <c:v>157.89473684210526</c:v>
                </c:pt>
                <c:pt idx="497">
                  <c:v>157.89473684210526</c:v>
                </c:pt>
                <c:pt idx="498">
                  <c:v>157.89473684210526</c:v>
                </c:pt>
                <c:pt idx="499">
                  <c:v>157.89473684210526</c:v>
                </c:pt>
                <c:pt idx="500">
                  <c:v>157.89473684210526</c:v>
                </c:pt>
                <c:pt idx="501">
                  <c:v>157.89473684210526</c:v>
                </c:pt>
                <c:pt idx="502">
                  <c:v>157.89473684210526</c:v>
                </c:pt>
                <c:pt idx="503">
                  <c:v>157.89473684210526</c:v>
                </c:pt>
                <c:pt idx="504">
                  <c:v>157.89473684210526</c:v>
                </c:pt>
                <c:pt idx="505">
                  <c:v>157.89473684210526</c:v>
                </c:pt>
                <c:pt idx="506">
                  <c:v>157.89473684210526</c:v>
                </c:pt>
                <c:pt idx="507">
                  <c:v>157.89473684210526</c:v>
                </c:pt>
                <c:pt idx="508">
                  <c:v>157.89473684210526</c:v>
                </c:pt>
                <c:pt idx="509">
                  <c:v>157.89473684210526</c:v>
                </c:pt>
                <c:pt idx="510">
                  <c:v>157.89473684210526</c:v>
                </c:pt>
                <c:pt idx="511">
                  <c:v>157.89473684210526</c:v>
                </c:pt>
                <c:pt idx="512">
                  <c:v>157.89473684210526</c:v>
                </c:pt>
                <c:pt idx="513">
                  <c:v>157.89473684210526</c:v>
                </c:pt>
                <c:pt idx="514">
                  <c:v>157.89473684210526</c:v>
                </c:pt>
                <c:pt idx="515">
                  <c:v>157.89473684210526</c:v>
                </c:pt>
                <c:pt idx="516">
                  <c:v>157.89473684210526</c:v>
                </c:pt>
                <c:pt idx="517">
                  <c:v>157.89473684210526</c:v>
                </c:pt>
                <c:pt idx="518">
                  <c:v>157.89473684210526</c:v>
                </c:pt>
                <c:pt idx="519">
                  <c:v>157.89473684210526</c:v>
                </c:pt>
                <c:pt idx="520">
                  <c:v>157.89473684210526</c:v>
                </c:pt>
                <c:pt idx="521">
                  <c:v>157.89473684210526</c:v>
                </c:pt>
                <c:pt idx="522">
                  <c:v>157.89473684210526</c:v>
                </c:pt>
                <c:pt idx="523">
                  <c:v>157.89473684210526</c:v>
                </c:pt>
                <c:pt idx="524">
                  <c:v>157.89473684210526</c:v>
                </c:pt>
                <c:pt idx="525">
                  <c:v>157.89473684210526</c:v>
                </c:pt>
                <c:pt idx="526">
                  <c:v>157.89473684210526</c:v>
                </c:pt>
                <c:pt idx="527">
                  <c:v>157.89473684210526</c:v>
                </c:pt>
                <c:pt idx="528">
                  <c:v>157.89473684210526</c:v>
                </c:pt>
                <c:pt idx="529">
                  <c:v>157.89473684210526</c:v>
                </c:pt>
                <c:pt idx="530">
                  <c:v>157.89473684210526</c:v>
                </c:pt>
                <c:pt idx="531">
                  <c:v>157.89473684210526</c:v>
                </c:pt>
                <c:pt idx="532">
                  <c:v>157.89473684210526</c:v>
                </c:pt>
                <c:pt idx="533">
                  <c:v>157.89473684210526</c:v>
                </c:pt>
                <c:pt idx="534">
                  <c:v>157.89473684210526</c:v>
                </c:pt>
                <c:pt idx="535">
                  <c:v>157.89473684210526</c:v>
                </c:pt>
                <c:pt idx="536">
                  <c:v>157.89473684210526</c:v>
                </c:pt>
                <c:pt idx="537">
                  <c:v>157.89473684210526</c:v>
                </c:pt>
                <c:pt idx="538">
                  <c:v>157.89473684210526</c:v>
                </c:pt>
                <c:pt idx="539">
                  <c:v>157.89473684210526</c:v>
                </c:pt>
                <c:pt idx="540">
                  <c:v>157.89473684210526</c:v>
                </c:pt>
                <c:pt idx="541">
                  <c:v>157.89473684210526</c:v>
                </c:pt>
                <c:pt idx="542">
                  <c:v>157.89473684210526</c:v>
                </c:pt>
                <c:pt idx="543">
                  <c:v>157.89473684210526</c:v>
                </c:pt>
                <c:pt idx="544">
                  <c:v>157.89473684210526</c:v>
                </c:pt>
                <c:pt idx="545">
                  <c:v>157.89473684210526</c:v>
                </c:pt>
                <c:pt idx="546">
                  <c:v>157.89473684210526</c:v>
                </c:pt>
                <c:pt idx="547">
                  <c:v>157.89473684210526</c:v>
                </c:pt>
                <c:pt idx="548">
                  <c:v>157.89473684210526</c:v>
                </c:pt>
                <c:pt idx="549">
                  <c:v>157.89473684210526</c:v>
                </c:pt>
                <c:pt idx="550">
                  <c:v>157.89473684210526</c:v>
                </c:pt>
                <c:pt idx="551">
                  <c:v>157.89473684210526</c:v>
                </c:pt>
                <c:pt idx="552">
                  <c:v>157.89473684210526</c:v>
                </c:pt>
                <c:pt idx="553">
                  <c:v>157.89473684210526</c:v>
                </c:pt>
                <c:pt idx="554">
                  <c:v>157.89473684210526</c:v>
                </c:pt>
                <c:pt idx="555">
                  <c:v>157.89473684210526</c:v>
                </c:pt>
                <c:pt idx="556">
                  <c:v>157.89473684210526</c:v>
                </c:pt>
                <c:pt idx="557">
                  <c:v>157.89473684210526</c:v>
                </c:pt>
                <c:pt idx="558">
                  <c:v>157.89473684210526</c:v>
                </c:pt>
                <c:pt idx="559">
                  <c:v>157.89473684210526</c:v>
                </c:pt>
                <c:pt idx="560">
                  <c:v>157.89473684210526</c:v>
                </c:pt>
                <c:pt idx="561">
                  <c:v>157.89473684210526</c:v>
                </c:pt>
                <c:pt idx="562">
                  <c:v>157.89473684210526</c:v>
                </c:pt>
                <c:pt idx="563">
                  <c:v>157.89473684210526</c:v>
                </c:pt>
                <c:pt idx="564">
                  <c:v>157.89473684210526</c:v>
                </c:pt>
                <c:pt idx="565">
                  <c:v>157.89473684210526</c:v>
                </c:pt>
                <c:pt idx="566">
                  <c:v>157.89473684210526</c:v>
                </c:pt>
                <c:pt idx="567">
                  <c:v>157.89473684210526</c:v>
                </c:pt>
                <c:pt idx="568">
                  <c:v>157.89473684210526</c:v>
                </c:pt>
                <c:pt idx="569">
                  <c:v>157.89473684210526</c:v>
                </c:pt>
                <c:pt idx="570">
                  <c:v>157.89473684210526</c:v>
                </c:pt>
                <c:pt idx="571">
                  <c:v>157.89473684210526</c:v>
                </c:pt>
                <c:pt idx="572">
                  <c:v>157.89473684210526</c:v>
                </c:pt>
                <c:pt idx="573">
                  <c:v>157.89473684210526</c:v>
                </c:pt>
                <c:pt idx="574">
                  <c:v>157.89473684210526</c:v>
                </c:pt>
                <c:pt idx="575">
                  <c:v>157.89473684210526</c:v>
                </c:pt>
                <c:pt idx="576">
                  <c:v>157.89473684210526</c:v>
                </c:pt>
                <c:pt idx="577">
                  <c:v>157.89473684210526</c:v>
                </c:pt>
                <c:pt idx="578">
                  <c:v>157.89473684210526</c:v>
                </c:pt>
                <c:pt idx="579">
                  <c:v>157.89473684210526</c:v>
                </c:pt>
                <c:pt idx="580">
                  <c:v>166.66666666666666</c:v>
                </c:pt>
                <c:pt idx="581">
                  <c:v>166.66666666666666</c:v>
                </c:pt>
                <c:pt idx="582">
                  <c:v>166.66666666666666</c:v>
                </c:pt>
                <c:pt idx="583">
                  <c:v>166.66666666666666</c:v>
                </c:pt>
                <c:pt idx="584">
                  <c:v>166.66666666666666</c:v>
                </c:pt>
                <c:pt idx="585">
                  <c:v>166.66666666666666</c:v>
                </c:pt>
                <c:pt idx="586">
                  <c:v>166.66666666666666</c:v>
                </c:pt>
                <c:pt idx="587">
                  <c:v>166.66666666666666</c:v>
                </c:pt>
                <c:pt idx="588">
                  <c:v>166.66666666666666</c:v>
                </c:pt>
                <c:pt idx="589">
                  <c:v>166.66666666666666</c:v>
                </c:pt>
                <c:pt idx="590">
                  <c:v>166.66666666666666</c:v>
                </c:pt>
                <c:pt idx="591">
                  <c:v>166.66666666666666</c:v>
                </c:pt>
                <c:pt idx="592">
                  <c:v>166.66666666666666</c:v>
                </c:pt>
                <c:pt idx="593">
                  <c:v>166.66666666666666</c:v>
                </c:pt>
                <c:pt idx="594">
                  <c:v>166.66666666666666</c:v>
                </c:pt>
                <c:pt idx="595">
                  <c:v>166.66666666666666</c:v>
                </c:pt>
                <c:pt idx="596">
                  <c:v>166.66666666666666</c:v>
                </c:pt>
                <c:pt idx="597">
                  <c:v>166.66666666666666</c:v>
                </c:pt>
                <c:pt idx="598">
                  <c:v>166.66666666666666</c:v>
                </c:pt>
                <c:pt idx="599">
                  <c:v>166.66666666666666</c:v>
                </c:pt>
                <c:pt idx="600">
                  <c:v>166.66666666666666</c:v>
                </c:pt>
                <c:pt idx="601">
                  <c:v>166.66666666666666</c:v>
                </c:pt>
                <c:pt idx="602">
                  <c:v>166.66666666666666</c:v>
                </c:pt>
                <c:pt idx="603">
                  <c:v>166.66666666666666</c:v>
                </c:pt>
                <c:pt idx="604">
                  <c:v>166.66666666666666</c:v>
                </c:pt>
                <c:pt idx="605">
                  <c:v>166.66666666666666</c:v>
                </c:pt>
                <c:pt idx="606">
                  <c:v>166.66666666666666</c:v>
                </c:pt>
                <c:pt idx="607">
                  <c:v>166.66666666666666</c:v>
                </c:pt>
                <c:pt idx="608">
                  <c:v>166.66666666666666</c:v>
                </c:pt>
                <c:pt idx="609">
                  <c:v>166.66666666666666</c:v>
                </c:pt>
                <c:pt idx="610">
                  <c:v>166.66666666666666</c:v>
                </c:pt>
                <c:pt idx="611">
                  <c:v>166.66666666666666</c:v>
                </c:pt>
                <c:pt idx="612">
                  <c:v>166.66666666666666</c:v>
                </c:pt>
                <c:pt idx="613">
                  <c:v>166.66666666666666</c:v>
                </c:pt>
                <c:pt idx="614">
                  <c:v>166.66666666666666</c:v>
                </c:pt>
                <c:pt idx="615">
                  <c:v>166.66666666666666</c:v>
                </c:pt>
                <c:pt idx="616">
                  <c:v>166.66666666666666</c:v>
                </c:pt>
                <c:pt idx="617">
                  <c:v>166.66666666666666</c:v>
                </c:pt>
                <c:pt idx="618">
                  <c:v>166.66666666666666</c:v>
                </c:pt>
                <c:pt idx="619">
                  <c:v>166.66666666666666</c:v>
                </c:pt>
                <c:pt idx="620">
                  <c:v>166.66666666666666</c:v>
                </c:pt>
                <c:pt idx="621">
                  <c:v>166.66666666666666</c:v>
                </c:pt>
                <c:pt idx="622">
                  <c:v>166.66666666666666</c:v>
                </c:pt>
                <c:pt idx="623">
                  <c:v>166.66666666666666</c:v>
                </c:pt>
                <c:pt idx="624">
                  <c:v>166.66666666666666</c:v>
                </c:pt>
                <c:pt idx="625">
                  <c:v>166.66666666666666</c:v>
                </c:pt>
                <c:pt idx="626">
                  <c:v>166.66666666666666</c:v>
                </c:pt>
                <c:pt idx="627">
                  <c:v>166.66666666666666</c:v>
                </c:pt>
                <c:pt idx="628">
                  <c:v>166.66666666666666</c:v>
                </c:pt>
                <c:pt idx="629">
                  <c:v>166.66666666666666</c:v>
                </c:pt>
                <c:pt idx="630">
                  <c:v>166.66666666666666</c:v>
                </c:pt>
                <c:pt idx="631">
                  <c:v>166.66666666666666</c:v>
                </c:pt>
                <c:pt idx="632">
                  <c:v>166.66666666666666</c:v>
                </c:pt>
                <c:pt idx="633">
                  <c:v>166.66666666666666</c:v>
                </c:pt>
                <c:pt idx="634">
                  <c:v>166.66666666666666</c:v>
                </c:pt>
                <c:pt idx="635">
                  <c:v>166.66666666666666</c:v>
                </c:pt>
                <c:pt idx="636">
                  <c:v>166.66666666666666</c:v>
                </c:pt>
                <c:pt idx="637">
                  <c:v>166.66666666666666</c:v>
                </c:pt>
                <c:pt idx="638">
                  <c:v>166.66666666666666</c:v>
                </c:pt>
                <c:pt idx="639">
                  <c:v>166.66666666666666</c:v>
                </c:pt>
                <c:pt idx="640">
                  <c:v>166.66666666666666</c:v>
                </c:pt>
                <c:pt idx="641">
                  <c:v>166.66666666666666</c:v>
                </c:pt>
                <c:pt idx="642">
                  <c:v>166.66666666666666</c:v>
                </c:pt>
                <c:pt idx="643">
                  <c:v>166.66666666666666</c:v>
                </c:pt>
                <c:pt idx="644">
                  <c:v>166.66666666666666</c:v>
                </c:pt>
                <c:pt idx="645">
                  <c:v>166.66666666666666</c:v>
                </c:pt>
                <c:pt idx="646">
                  <c:v>166.66666666666666</c:v>
                </c:pt>
                <c:pt idx="647">
                  <c:v>166.66666666666666</c:v>
                </c:pt>
                <c:pt idx="648">
                  <c:v>166.66666666666666</c:v>
                </c:pt>
                <c:pt idx="649">
                  <c:v>166.66666666666666</c:v>
                </c:pt>
                <c:pt idx="650">
                  <c:v>166.66666666666666</c:v>
                </c:pt>
                <c:pt idx="651">
                  <c:v>166.66666666666666</c:v>
                </c:pt>
                <c:pt idx="652">
                  <c:v>166.66666666666666</c:v>
                </c:pt>
                <c:pt idx="653">
                  <c:v>166.66666666666666</c:v>
                </c:pt>
                <c:pt idx="654">
                  <c:v>166.66666666666666</c:v>
                </c:pt>
                <c:pt idx="655">
                  <c:v>166.66666666666666</c:v>
                </c:pt>
                <c:pt idx="656">
                  <c:v>166.66666666666666</c:v>
                </c:pt>
                <c:pt idx="657">
                  <c:v>166.66666666666666</c:v>
                </c:pt>
                <c:pt idx="658">
                  <c:v>166.66666666666666</c:v>
                </c:pt>
                <c:pt idx="659">
                  <c:v>166.66666666666666</c:v>
                </c:pt>
                <c:pt idx="660">
                  <c:v>166.66666666666666</c:v>
                </c:pt>
                <c:pt idx="661">
                  <c:v>166.66666666666666</c:v>
                </c:pt>
                <c:pt idx="662">
                  <c:v>166.66666666666666</c:v>
                </c:pt>
                <c:pt idx="663">
                  <c:v>166.66666666666666</c:v>
                </c:pt>
                <c:pt idx="664">
                  <c:v>166.66666666666666</c:v>
                </c:pt>
                <c:pt idx="665">
                  <c:v>166.66666666666666</c:v>
                </c:pt>
                <c:pt idx="666">
                  <c:v>166.66666666666666</c:v>
                </c:pt>
                <c:pt idx="667">
                  <c:v>166.66666666666666</c:v>
                </c:pt>
                <c:pt idx="668">
                  <c:v>166.66666666666666</c:v>
                </c:pt>
                <c:pt idx="669">
                  <c:v>166.66666666666666</c:v>
                </c:pt>
                <c:pt idx="670">
                  <c:v>166.66666666666666</c:v>
                </c:pt>
                <c:pt idx="671">
                  <c:v>166.66666666666666</c:v>
                </c:pt>
                <c:pt idx="672">
                  <c:v>166.66666666666666</c:v>
                </c:pt>
                <c:pt idx="673">
                  <c:v>166.66666666666666</c:v>
                </c:pt>
                <c:pt idx="674">
                  <c:v>166.66666666666666</c:v>
                </c:pt>
                <c:pt idx="675">
                  <c:v>166.66666666666666</c:v>
                </c:pt>
                <c:pt idx="676">
                  <c:v>166.66666666666666</c:v>
                </c:pt>
                <c:pt idx="677">
                  <c:v>166.66666666666666</c:v>
                </c:pt>
                <c:pt idx="678">
                  <c:v>166.66666666666666</c:v>
                </c:pt>
                <c:pt idx="679">
                  <c:v>166.66666666666666</c:v>
                </c:pt>
                <c:pt idx="680">
                  <c:v>166.66666666666666</c:v>
                </c:pt>
                <c:pt idx="681">
                  <c:v>166.66666666666666</c:v>
                </c:pt>
                <c:pt idx="682">
                  <c:v>166.66666666666666</c:v>
                </c:pt>
                <c:pt idx="683">
                  <c:v>166.66666666666666</c:v>
                </c:pt>
                <c:pt idx="684">
                  <c:v>166.66666666666666</c:v>
                </c:pt>
                <c:pt idx="685">
                  <c:v>166.66666666666666</c:v>
                </c:pt>
                <c:pt idx="686">
                  <c:v>166.66666666666666</c:v>
                </c:pt>
                <c:pt idx="687">
                  <c:v>166.66666666666666</c:v>
                </c:pt>
                <c:pt idx="688">
                  <c:v>166.66666666666666</c:v>
                </c:pt>
                <c:pt idx="689">
                  <c:v>166.66666666666666</c:v>
                </c:pt>
                <c:pt idx="690">
                  <c:v>166.66666666666666</c:v>
                </c:pt>
                <c:pt idx="691">
                  <c:v>166.66666666666666</c:v>
                </c:pt>
                <c:pt idx="692">
                  <c:v>166.66666666666666</c:v>
                </c:pt>
                <c:pt idx="693">
                  <c:v>166.66666666666666</c:v>
                </c:pt>
                <c:pt idx="694">
                  <c:v>166.66666666666666</c:v>
                </c:pt>
                <c:pt idx="695">
                  <c:v>166.66666666666666</c:v>
                </c:pt>
                <c:pt idx="696">
                  <c:v>166.66666666666666</c:v>
                </c:pt>
                <c:pt idx="697">
                  <c:v>166.66666666666666</c:v>
                </c:pt>
                <c:pt idx="698">
                  <c:v>166.66666666666666</c:v>
                </c:pt>
                <c:pt idx="699">
                  <c:v>166.66666666666666</c:v>
                </c:pt>
                <c:pt idx="700">
                  <c:v>166.66666666666666</c:v>
                </c:pt>
                <c:pt idx="701">
                  <c:v>166.66666666666666</c:v>
                </c:pt>
                <c:pt idx="702">
                  <c:v>166.66666666666666</c:v>
                </c:pt>
                <c:pt idx="703">
                  <c:v>166.66666666666666</c:v>
                </c:pt>
                <c:pt idx="704">
                  <c:v>166.66666666666666</c:v>
                </c:pt>
                <c:pt idx="705">
                  <c:v>166.66666666666666</c:v>
                </c:pt>
                <c:pt idx="706">
                  <c:v>166.66666666666666</c:v>
                </c:pt>
                <c:pt idx="707">
                  <c:v>166.66666666666666</c:v>
                </c:pt>
                <c:pt idx="708">
                  <c:v>166.66666666666666</c:v>
                </c:pt>
                <c:pt idx="709">
                  <c:v>166.66666666666666</c:v>
                </c:pt>
                <c:pt idx="710">
                  <c:v>166.66666666666666</c:v>
                </c:pt>
                <c:pt idx="711">
                  <c:v>176.47058823529412</c:v>
                </c:pt>
                <c:pt idx="712">
                  <c:v>176.47058823529412</c:v>
                </c:pt>
                <c:pt idx="713">
                  <c:v>176.47058823529412</c:v>
                </c:pt>
                <c:pt idx="714">
                  <c:v>176.47058823529412</c:v>
                </c:pt>
                <c:pt idx="715">
                  <c:v>176.47058823529412</c:v>
                </c:pt>
                <c:pt idx="716">
                  <c:v>176.47058823529412</c:v>
                </c:pt>
                <c:pt idx="717">
                  <c:v>176.47058823529412</c:v>
                </c:pt>
                <c:pt idx="718">
                  <c:v>176.47058823529412</c:v>
                </c:pt>
                <c:pt idx="719">
                  <c:v>176.47058823529412</c:v>
                </c:pt>
                <c:pt idx="720">
                  <c:v>176.47058823529412</c:v>
                </c:pt>
                <c:pt idx="721">
                  <c:v>176.47058823529412</c:v>
                </c:pt>
                <c:pt idx="722">
                  <c:v>176.47058823529412</c:v>
                </c:pt>
                <c:pt idx="723">
                  <c:v>176.47058823529412</c:v>
                </c:pt>
                <c:pt idx="724">
                  <c:v>176.47058823529412</c:v>
                </c:pt>
                <c:pt idx="725">
                  <c:v>176.47058823529412</c:v>
                </c:pt>
                <c:pt idx="726">
                  <c:v>176.47058823529412</c:v>
                </c:pt>
                <c:pt idx="727">
                  <c:v>176.47058823529412</c:v>
                </c:pt>
                <c:pt idx="728">
                  <c:v>176.47058823529412</c:v>
                </c:pt>
                <c:pt idx="729">
                  <c:v>176.47058823529412</c:v>
                </c:pt>
                <c:pt idx="730">
                  <c:v>176.47058823529412</c:v>
                </c:pt>
                <c:pt idx="731">
                  <c:v>176.47058823529412</c:v>
                </c:pt>
                <c:pt idx="732">
                  <c:v>176.47058823529412</c:v>
                </c:pt>
                <c:pt idx="733">
                  <c:v>176.47058823529412</c:v>
                </c:pt>
                <c:pt idx="734">
                  <c:v>176.47058823529412</c:v>
                </c:pt>
                <c:pt idx="735">
                  <c:v>176.47058823529412</c:v>
                </c:pt>
                <c:pt idx="736">
                  <c:v>176.47058823529412</c:v>
                </c:pt>
                <c:pt idx="737">
                  <c:v>176.47058823529412</c:v>
                </c:pt>
                <c:pt idx="738">
                  <c:v>176.47058823529412</c:v>
                </c:pt>
                <c:pt idx="739">
                  <c:v>176.47058823529412</c:v>
                </c:pt>
                <c:pt idx="740">
                  <c:v>176.47058823529412</c:v>
                </c:pt>
                <c:pt idx="741">
                  <c:v>176.47058823529412</c:v>
                </c:pt>
                <c:pt idx="742">
                  <c:v>176.47058823529412</c:v>
                </c:pt>
                <c:pt idx="743">
                  <c:v>176.47058823529412</c:v>
                </c:pt>
                <c:pt idx="744">
                  <c:v>176.47058823529412</c:v>
                </c:pt>
                <c:pt idx="745">
                  <c:v>176.47058823529412</c:v>
                </c:pt>
                <c:pt idx="746">
                  <c:v>176.47058823529412</c:v>
                </c:pt>
                <c:pt idx="747">
                  <c:v>176.47058823529412</c:v>
                </c:pt>
                <c:pt idx="748">
                  <c:v>176.47058823529412</c:v>
                </c:pt>
                <c:pt idx="749">
                  <c:v>176.47058823529412</c:v>
                </c:pt>
                <c:pt idx="750">
                  <c:v>176.47058823529412</c:v>
                </c:pt>
                <c:pt idx="751">
                  <c:v>176.47058823529412</c:v>
                </c:pt>
                <c:pt idx="752">
                  <c:v>176.47058823529412</c:v>
                </c:pt>
                <c:pt idx="753">
                  <c:v>176.47058823529412</c:v>
                </c:pt>
                <c:pt idx="754">
                  <c:v>176.47058823529412</c:v>
                </c:pt>
                <c:pt idx="755">
                  <c:v>176.47058823529412</c:v>
                </c:pt>
                <c:pt idx="756">
                  <c:v>176.47058823529412</c:v>
                </c:pt>
                <c:pt idx="757">
                  <c:v>176.47058823529412</c:v>
                </c:pt>
                <c:pt idx="758">
                  <c:v>176.47058823529412</c:v>
                </c:pt>
                <c:pt idx="759">
                  <c:v>176.47058823529412</c:v>
                </c:pt>
                <c:pt idx="760">
                  <c:v>176.47058823529412</c:v>
                </c:pt>
                <c:pt idx="761">
                  <c:v>176.47058823529412</c:v>
                </c:pt>
                <c:pt idx="762">
                  <c:v>176.47058823529412</c:v>
                </c:pt>
                <c:pt idx="763">
                  <c:v>176.47058823529412</c:v>
                </c:pt>
                <c:pt idx="764">
                  <c:v>176.47058823529412</c:v>
                </c:pt>
                <c:pt idx="765">
                  <c:v>176.47058823529412</c:v>
                </c:pt>
                <c:pt idx="766">
                  <c:v>176.47058823529412</c:v>
                </c:pt>
                <c:pt idx="767">
                  <c:v>176.47058823529412</c:v>
                </c:pt>
                <c:pt idx="768">
                  <c:v>176.47058823529412</c:v>
                </c:pt>
                <c:pt idx="769">
                  <c:v>176.47058823529412</c:v>
                </c:pt>
                <c:pt idx="770">
                  <c:v>176.47058823529412</c:v>
                </c:pt>
                <c:pt idx="771">
                  <c:v>176.47058823529412</c:v>
                </c:pt>
                <c:pt idx="772">
                  <c:v>176.47058823529412</c:v>
                </c:pt>
                <c:pt idx="773">
                  <c:v>176.47058823529412</c:v>
                </c:pt>
                <c:pt idx="774">
                  <c:v>176.47058823529412</c:v>
                </c:pt>
                <c:pt idx="775">
                  <c:v>176.47058823529412</c:v>
                </c:pt>
                <c:pt idx="776">
                  <c:v>176.47058823529412</c:v>
                </c:pt>
                <c:pt idx="777">
                  <c:v>176.47058823529412</c:v>
                </c:pt>
                <c:pt idx="778">
                  <c:v>176.47058823529412</c:v>
                </c:pt>
                <c:pt idx="779">
                  <c:v>176.47058823529412</c:v>
                </c:pt>
                <c:pt idx="780">
                  <c:v>176.47058823529412</c:v>
                </c:pt>
                <c:pt idx="781">
                  <c:v>176.47058823529412</c:v>
                </c:pt>
                <c:pt idx="782">
                  <c:v>176.47058823529412</c:v>
                </c:pt>
                <c:pt idx="783">
                  <c:v>176.47058823529412</c:v>
                </c:pt>
                <c:pt idx="784">
                  <c:v>176.47058823529412</c:v>
                </c:pt>
                <c:pt idx="785">
                  <c:v>176.47058823529412</c:v>
                </c:pt>
                <c:pt idx="786">
                  <c:v>176.47058823529412</c:v>
                </c:pt>
                <c:pt idx="787">
                  <c:v>176.47058823529412</c:v>
                </c:pt>
                <c:pt idx="788">
                  <c:v>176.47058823529412</c:v>
                </c:pt>
                <c:pt idx="789">
                  <c:v>176.47058823529412</c:v>
                </c:pt>
                <c:pt idx="790">
                  <c:v>176.47058823529412</c:v>
                </c:pt>
                <c:pt idx="791">
                  <c:v>176.47058823529412</c:v>
                </c:pt>
                <c:pt idx="792">
                  <c:v>176.47058823529412</c:v>
                </c:pt>
                <c:pt idx="793">
                  <c:v>176.47058823529412</c:v>
                </c:pt>
                <c:pt idx="794">
                  <c:v>176.47058823529412</c:v>
                </c:pt>
                <c:pt idx="795">
                  <c:v>176.47058823529412</c:v>
                </c:pt>
                <c:pt idx="796">
                  <c:v>176.47058823529412</c:v>
                </c:pt>
                <c:pt idx="797">
                  <c:v>176.47058823529412</c:v>
                </c:pt>
                <c:pt idx="798">
                  <c:v>176.47058823529412</c:v>
                </c:pt>
                <c:pt idx="799">
                  <c:v>176.47058823529412</c:v>
                </c:pt>
                <c:pt idx="800">
                  <c:v>176.47058823529412</c:v>
                </c:pt>
                <c:pt idx="801">
                  <c:v>176.47058823529412</c:v>
                </c:pt>
                <c:pt idx="802">
                  <c:v>176.47058823529412</c:v>
                </c:pt>
                <c:pt idx="803">
                  <c:v>176.47058823529412</c:v>
                </c:pt>
                <c:pt idx="804">
                  <c:v>176.47058823529412</c:v>
                </c:pt>
                <c:pt idx="805">
                  <c:v>176.47058823529412</c:v>
                </c:pt>
                <c:pt idx="806">
                  <c:v>176.47058823529412</c:v>
                </c:pt>
                <c:pt idx="807">
                  <c:v>176.47058823529412</c:v>
                </c:pt>
                <c:pt idx="808">
                  <c:v>176.47058823529412</c:v>
                </c:pt>
                <c:pt idx="809">
                  <c:v>176.47058823529412</c:v>
                </c:pt>
                <c:pt idx="810">
                  <c:v>176.47058823529412</c:v>
                </c:pt>
                <c:pt idx="811">
                  <c:v>176.47058823529412</c:v>
                </c:pt>
                <c:pt idx="812">
                  <c:v>176.47058823529412</c:v>
                </c:pt>
                <c:pt idx="813">
                  <c:v>176.47058823529412</c:v>
                </c:pt>
                <c:pt idx="814">
                  <c:v>176.47058823529412</c:v>
                </c:pt>
                <c:pt idx="815">
                  <c:v>176.47058823529412</c:v>
                </c:pt>
                <c:pt idx="816">
                  <c:v>176.47058823529412</c:v>
                </c:pt>
                <c:pt idx="817">
                  <c:v>176.47058823529412</c:v>
                </c:pt>
                <c:pt idx="818">
                  <c:v>176.47058823529412</c:v>
                </c:pt>
                <c:pt idx="819">
                  <c:v>176.47058823529412</c:v>
                </c:pt>
                <c:pt idx="820">
                  <c:v>176.47058823529412</c:v>
                </c:pt>
                <c:pt idx="821">
                  <c:v>176.47058823529412</c:v>
                </c:pt>
                <c:pt idx="822">
                  <c:v>176.47058823529412</c:v>
                </c:pt>
                <c:pt idx="823">
                  <c:v>176.47058823529412</c:v>
                </c:pt>
                <c:pt idx="824">
                  <c:v>176.47058823529412</c:v>
                </c:pt>
                <c:pt idx="825">
                  <c:v>176.47058823529412</c:v>
                </c:pt>
                <c:pt idx="826">
                  <c:v>176.47058823529412</c:v>
                </c:pt>
                <c:pt idx="827">
                  <c:v>176.47058823529412</c:v>
                </c:pt>
                <c:pt idx="828">
                  <c:v>176.47058823529412</c:v>
                </c:pt>
                <c:pt idx="829">
                  <c:v>176.47058823529412</c:v>
                </c:pt>
                <c:pt idx="830">
                  <c:v>176.47058823529412</c:v>
                </c:pt>
                <c:pt idx="831">
                  <c:v>176.47058823529412</c:v>
                </c:pt>
                <c:pt idx="832">
                  <c:v>176.47058823529412</c:v>
                </c:pt>
                <c:pt idx="833">
                  <c:v>176.47058823529412</c:v>
                </c:pt>
                <c:pt idx="834">
                  <c:v>176.47058823529412</c:v>
                </c:pt>
                <c:pt idx="835">
                  <c:v>176.47058823529412</c:v>
                </c:pt>
                <c:pt idx="836">
                  <c:v>176.47058823529412</c:v>
                </c:pt>
                <c:pt idx="837">
                  <c:v>176.47058823529412</c:v>
                </c:pt>
                <c:pt idx="838">
                  <c:v>176.47058823529412</c:v>
                </c:pt>
                <c:pt idx="839">
                  <c:v>176.47058823529412</c:v>
                </c:pt>
                <c:pt idx="840">
                  <c:v>176.47058823529412</c:v>
                </c:pt>
                <c:pt idx="841">
                  <c:v>176.47058823529412</c:v>
                </c:pt>
                <c:pt idx="842">
                  <c:v>176.47058823529412</c:v>
                </c:pt>
                <c:pt idx="843">
                  <c:v>176.47058823529412</c:v>
                </c:pt>
                <c:pt idx="844">
                  <c:v>176.47058823529412</c:v>
                </c:pt>
                <c:pt idx="845">
                  <c:v>176.47058823529412</c:v>
                </c:pt>
                <c:pt idx="846">
                  <c:v>176.47058823529412</c:v>
                </c:pt>
                <c:pt idx="847">
                  <c:v>176.47058823529412</c:v>
                </c:pt>
                <c:pt idx="848">
                  <c:v>176.47058823529412</c:v>
                </c:pt>
                <c:pt idx="849">
                  <c:v>176.47058823529412</c:v>
                </c:pt>
                <c:pt idx="850">
                  <c:v>176.47058823529412</c:v>
                </c:pt>
                <c:pt idx="851">
                  <c:v>176.47058823529412</c:v>
                </c:pt>
                <c:pt idx="852">
                  <c:v>176.47058823529412</c:v>
                </c:pt>
                <c:pt idx="853">
                  <c:v>176.47058823529412</c:v>
                </c:pt>
                <c:pt idx="854">
                  <c:v>176.47058823529412</c:v>
                </c:pt>
                <c:pt idx="855">
                  <c:v>176.47058823529412</c:v>
                </c:pt>
                <c:pt idx="856">
                  <c:v>176.47058823529412</c:v>
                </c:pt>
                <c:pt idx="857">
                  <c:v>176.47058823529412</c:v>
                </c:pt>
                <c:pt idx="858">
                  <c:v>176.47058823529412</c:v>
                </c:pt>
                <c:pt idx="859">
                  <c:v>176.47058823529412</c:v>
                </c:pt>
                <c:pt idx="860">
                  <c:v>176.47058823529412</c:v>
                </c:pt>
                <c:pt idx="861">
                  <c:v>176.47058823529412</c:v>
                </c:pt>
                <c:pt idx="862">
                  <c:v>176.47058823529412</c:v>
                </c:pt>
                <c:pt idx="863">
                  <c:v>176.47058823529412</c:v>
                </c:pt>
                <c:pt idx="864">
                  <c:v>176.47058823529412</c:v>
                </c:pt>
                <c:pt idx="865">
                  <c:v>176.47058823529412</c:v>
                </c:pt>
                <c:pt idx="866">
                  <c:v>176.47058823529412</c:v>
                </c:pt>
                <c:pt idx="867">
                  <c:v>176.47058823529412</c:v>
                </c:pt>
                <c:pt idx="868">
                  <c:v>176.47058823529412</c:v>
                </c:pt>
                <c:pt idx="869">
                  <c:v>176.47058823529412</c:v>
                </c:pt>
                <c:pt idx="870">
                  <c:v>176.47058823529412</c:v>
                </c:pt>
                <c:pt idx="871">
                  <c:v>176.47058823529412</c:v>
                </c:pt>
                <c:pt idx="872">
                  <c:v>176.47058823529412</c:v>
                </c:pt>
                <c:pt idx="873">
                  <c:v>176.47058823529412</c:v>
                </c:pt>
                <c:pt idx="874">
                  <c:v>176.47058823529412</c:v>
                </c:pt>
                <c:pt idx="875">
                  <c:v>176.47058823529412</c:v>
                </c:pt>
                <c:pt idx="876">
                  <c:v>176.47058823529412</c:v>
                </c:pt>
                <c:pt idx="877">
                  <c:v>176.47058823529412</c:v>
                </c:pt>
                <c:pt idx="878">
                  <c:v>176.47058823529412</c:v>
                </c:pt>
                <c:pt idx="879">
                  <c:v>176.47058823529412</c:v>
                </c:pt>
                <c:pt idx="880">
                  <c:v>176.47058823529412</c:v>
                </c:pt>
                <c:pt idx="881">
                  <c:v>176.47058823529412</c:v>
                </c:pt>
                <c:pt idx="882">
                  <c:v>176.47058823529412</c:v>
                </c:pt>
                <c:pt idx="883">
                  <c:v>176.47058823529412</c:v>
                </c:pt>
                <c:pt idx="884">
                  <c:v>176.47058823529412</c:v>
                </c:pt>
                <c:pt idx="885">
                  <c:v>176.47058823529412</c:v>
                </c:pt>
                <c:pt idx="886">
                  <c:v>176.47058823529412</c:v>
                </c:pt>
                <c:pt idx="887">
                  <c:v>176.47058823529412</c:v>
                </c:pt>
                <c:pt idx="888">
                  <c:v>176.47058823529412</c:v>
                </c:pt>
                <c:pt idx="889">
                  <c:v>176.47058823529412</c:v>
                </c:pt>
                <c:pt idx="890">
                  <c:v>176.47058823529412</c:v>
                </c:pt>
                <c:pt idx="891">
                  <c:v>176.47058823529412</c:v>
                </c:pt>
                <c:pt idx="892">
                  <c:v>176.47058823529412</c:v>
                </c:pt>
                <c:pt idx="893">
                  <c:v>176.47058823529412</c:v>
                </c:pt>
                <c:pt idx="894">
                  <c:v>176.47058823529412</c:v>
                </c:pt>
                <c:pt idx="895">
                  <c:v>176.47058823529412</c:v>
                </c:pt>
                <c:pt idx="896">
                  <c:v>176.47058823529412</c:v>
                </c:pt>
                <c:pt idx="897">
                  <c:v>176.47058823529412</c:v>
                </c:pt>
                <c:pt idx="898">
                  <c:v>176.47058823529412</c:v>
                </c:pt>
                <c:pt idx="899">
                  <c:v>176.47058823529412</c:v>
                </c:pt>
                <c:pt idx="900">
                  <c:v>176.47058823529412</c:v>
                </c:pt>
                <c:pt idx="901">
                  <c:v>176.47058823529412</c:v>
                </c:pt>
                <c:pt idx="902">
                  <c:v>176.47058823529412</c:v>
                </c:pt>
                <c:pt idx="903">
                  <c:v>176.47058823529412</c:v>
                </c:pt>
                <c:pt idx="904">
                  <c:v>176.47058823529412</c:v>
                </c:pt>
                <c:pt idx="905">
                  <c:v>176.47058823529412</c:v>
                </c:pt>
                <c:pt idx="906">
                  <c:v>176.47058823529412</c:v>
                </c:pt>
                <c:pt idx="907">
                  <c:v>176.47058823529412</c:v>
                </c:pt>
                <c:pt idx="908">
                  <c:v>176.47058823529412</c:v>
                </c:pt>
                <c:pt idx="909">
                  <c:v>176.47058823529412</c:v>
                </c:pt>
                <c:pt idx="910">
                  <c:v>176.47058823529412</c:v>
                </c:pt>
                <c:pt idx="911">
                  <c:v>176.47058823529412</c:v>
                </c:pt>
                <c:pt idx="912">
                  <c:v>176.47058823529412</c:v>
                </c:pt>
                <c:pt idx="913">
                  <c:v>176.47058823529412</c:v>
                </c:pt>
                <c:pt idx="914">
                  <c:v>176.47058823529412</c:v>
                </c:pt>
                <c:pt idx="915">
                  <c:v>176.47058823529412</c:v>
                </c:pt>
                <c:pt idx="916">
                  <c:v>176.47058823529412</c:v>
                </c:pt>
                <c:pt idx="917">
                  <c:v>176.47058823529412</c:v>
                </c:pt>
                <c:pt idx="918">
                  <c:v>176.47058823529412</c:v>
                </c:pt>
                <c:pt idx="919">
                  <c:v>176.47058823529412</c:v>
                </c:pt>
                <c:pt idx="920">
                  <c:v>176.47058823529412</c:v>
                </c:pt>
                <c:pt idx="921">
                  <c:v>176.47058823529412</c:v>
                </c:pt>
                <c:pt idx="922">
                  <c:v>176.47058823529412</c:v>
                </c:pt>
                <c:pt idx="923">
                  <c:v>176.47058823529412</c:v>
                </c:pt>
                <c:pt idx="924">
                  <c:v>176.47058823529412</c:v>
                </c:pt>
                <c:pt idx="925">
                  <c:v>176.47058823529412</c:v>
                </c:pt>
                <c:pt idx="926">
                  <c:v>176.47058823529412</c:v>
                </c:pt>
                <c:pt idx="927">
                  <c:v>176.47058823529412</c:v>
                </c:pt>
                <c:pt idx="928">
                  <c:v>176.47058823529412</c:v>
                </c:pt>
                <c:pt idx="929">
                  <c:v>176.47058823529412</c:v>
                </c:pt>
                <c:pt idx="930">
                  <c:v>176.47058823529412</c:v>
                </c:pt>
                <c:pt idx="931">
                  <c:v>176.47058823529412</c:v>
                </c:pt>
                <c:pt idx="932">
                  <c:v>176.47058823529412</c:v>
                </c:pt>
                <c:pt idx="933">
                  <c:v>176.47058823529412</c:v>
                </c:pt>
                <c:pt idx="934">
                  <c:v>176.47058823529412</c:v>
                </c:pt>
                <c:pt idx="935">
                  <c:v>176.47058823529412</c:v>
                </c:pt>
                <c:pt idx="936">
                  <c:v>176.47058823529412</c:v>
                </c:pt>
                <c:pt idx="937">
                  <c:v>176.47058823529412</c:v>
                </c:pt>
                <c:pt idx="938">
                  <c:v>176.47058823529412</c:v>
                </c:pt>
                <c:pt idx="939">
                  <c:v>176.47058823529412</c:v>
                </c:pt>
                <c:pt idx="940">
                  <c:v>176.47058823529412</c:v>
                </c:pt>
                <c:pt idx="941">
                  <c:v>176.47058823529412</c:v>
                </c:pt>
                <c:pt idx="942">
                  <c:v>176.47058823529412</c:v>
                </c:pt>
                <c:pt idx="943">
                  <c:v>176.47058823529412</c:v>
                </c:pt>
                <c:pt idx="944">
                  <c:v>176.47058823529412</c:v>
                </c:pt>
                <c:pt idx="945">
                  <c:v>176.47058823529412</c:v>
                </c:pt>
                <c:pt idx="946">
                  <c:v>176.47058823529412</c:v>
                </c:pt>
                <c:pt idx="947">
                  <c:v>176.47058823529412</c:v>
                </c:pt>
                <c:pt idx="948">
                  <c:v>176.47058823529412</c:v>
                </c:pt>
                <c:pt idx="949">
                  <c:v>176.47058823529412</c:v>
                </c:pt>
                <c:pt idx="950">
                  <c:v>176.47058823529412</c:v>
                </c:pt>
                <c:pt idx="951">
                  <c:v>176.47058823529412</c:v>
                </c:pt>
                <c:pt idx="952">
                  <c:v>176.47058823529412</c:v>
                </c:pt>
                <c:pt idx="953">
                  <c:v>176.47058823529412</c:v>
                </c:pt>
                <c:pt idx="954">
                  <c:v>176.47058823529412</c:v>
                </c:pt>
                <c:pt idx="955">
                  <c:v>176.47058823529412</c:v>
                </c:pt>
                <c:pt idx="956">
                  <c:v>176.47058823529412</c:v>
                </c:pt>
                <c:pt idx="957">
                  <c:v>176.47058823529412</c:v>
                </c:pt>
                <c:pt idx="958">
                  <c:v>176.47058823529412</c:v>
                </c:pt>
                <c:pt idx="959">
                  <c:v>176.47058823529412</c:v>
                </c:pt>
                <c:pt idx="960">
                  <c:v>176.47058823529412</c:v>
                </c:pt>
                <c:pt idx="961">
                  <c:v>176.47058823529412</c:v>
                </c:pt>
                <c:pt idx="962">
                  <c:v>176.47058823529412</c:v>
                </c:pt>
                <c:pt idx="963">
                  <c:v>176.47058823529412</c:v>
                </c:pt>
                <c:pt idx="964">
                  <c:v>176.47058823529412</c:v>
                </c:pt>
                <c:pt idx="965">
                  <c:v>176.47058823529412</c:v>
                </c:pt>
                <c:pt idx="966">
                  <c:v>176.47058823529412</c:v>
                </c:pt>
                <c:pt idx="967">
                  <c:v>176.47058823529412</c:v>
                </c:pt>
                <c:pt idx="968">
                  <c:v>176.47058823529412</c:v>
                </c:pt>
                <c:pt idx="969">
                  <c:v>176.47058823529412</c:v>
                </c:pt>
                <c:pt idx="970">
                  <c:v>176.47058823529412</c:v>
                </c:pt>
                <c:pt idx="971">
                  <c:v>176.47058823529412</c:v>
                </c:pt>
                <c:pt idx="972">
                  <c:v>176.47058823529412</c:v>
                </c:pt>
                <c:pt idx="973">
                  <c:v>176.47058823529412</c:v>
                </c:pt>
                <c:pt idx="974">
                  <c:v>176.47058823529412</c:v>
                </c:pt>
                <c:pt idx="975">
                  <c:v>176.47058823529412</c:v>
                </c:pt>
                <c:pt idx="976">
                  <c:v>176.47058823529412</c:v>
                </c:pt>
                <c:pt idx="977">
                  <c:v>176.47058823529412</c:v>
                </c:pt>
                <c:pt idx="978">
                  <c:v>176.47058823529412</c:v>
                </c:pt>
                <c:pt idx="979">
                  <c:v>176.47058823529412</c:v>
                </c:pt>
                <c:pt idx="980">
                  <c:v>176.47058823529412</c:v>
                </c:pt>
                <c:pt idx="981">
                  <c:v>176.47058823529412</c:v>
                </c:pt>
                <c:pt idx="982">
                  <c:v>176.47058823529412</c:v>
                </c:pt>
                <c:pt idx="983">
                  <c:v>176.47058823529412</c:v>
                </c:pt>
                <c:pt idx="984">
                  <c:v>176.47058823529412</c:v>
                </c:pt>
                <c:pt idx="985">
                  <c:v>176.47058823529412</c:v>
                </c:pt>
                <c:pt idx="986">
                  <c:v>176.47058823529412</c:v>
                </c:pt>
                <c:pt idx="987">
                  <c:v>176.47058823529412</c:v>
                </c:pt>
                <c:pt idx="988">
                  <c:v>187.5</c:v>
                </c:pt>
                <c:pt idx="989">
                  <c:v>187.5</c:v>
                </c:pt>
                <c:pt idx="990">
                  <c:v>187.5</c:v>
                </c:pt>
                <c:pt idx="991">
                  <c:v>187.5</c:v>
                </c:pt>
                <c:pt idx="992">
                  <c:v>187.5</c:v>
                </c:pt>
                <c:pt idx="993">
                  <c:v>187.5</c:v>
                </c:pt>
                <c:pt idx="994">
                  <c:v>187.5</c:v>
                </c:pt>
                <c:pt idx="995">
                  <c:v>187.5</c:v>
                </c:pt>
                <c:pt idx="996">
                  <c:v>187.5</c:v>
                </c:pt>
                <c:pt idx="997">
                  <c:v>187.5</c:v>
                </c:pt>
                <c:pt idx="998">
                  <c:v>187.5</c:v>
                </c:pt>
                <c:pt idx="999">
                  <c:v>187.5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94-CB48-9EFF-6C63AEE45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574576"/>
        <c:axId val="511576288"/>
      </c:scatterChart>
      <c:valAx>
        <c:axId val="511574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576288"/>
        <c:crosses val="autoZero"/>
        <c:crossBetween val="midCat"/>
      </c:valAx>
      <c:valAx>
        <c:axId val="51157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574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timestep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Sheet1!$B$2:$B$1006</c:f>
              <c:numCache>
                <c:formatCode>General</c:formatCode>
                <c:ptCount val="1005"/>
                <c:pt idx="0">
                  <c:v>41.666666666666664</c:v>
                </c:pt>
                <c:pt idx="1">
                  <c:v>42.25352112676056</c:v>
                </c:pt>
                <c:pt idx="2">
                  <c:v>46.153846153846153</c:v>
                </c:pt>
                <c:pt idx="3">
                  <c:v>48.387096774193552</c:v>
                </c:pt>
                <c:pt idx="4">
                  <c:v>50</c:v>
                </c:pt>
                <c:pt idx="5">
                  <c:v>50</c:v>
                </c:pt>
                <c:pt idx="6">
                  <c:v>56.60377358490566</c:v>
                </c:pt>
                <c:pt idx="7">
                  <c:v>57.692307692307693</c:v>
                </c:pt>
                <c:pt idx="8">
                  <c:v>60</c:v>
                </c:pt>
                <c:pt idx="9">
                  <c:v>61.224489795918366</c:v>
                </c:pt>
                <c:pt idx="10">
                  <c:v>65.217391304347828</c:v>
                </c:pt>
                <c:pt idx="11">
                  <c:v>68.181818181818187</c:v>
                </c:pt>
                <c:pt idx="12">
                  <c:v>69.767441860465112</c:v>
                </c:pt>
                <c:pt idx="13">
                  <c:v>69.767441860465112</c:v>
                </c:pt>
                <c:pt idx="14">
                  <c:v>71.428571428571431</c:v>
                </c:pt>
                <c:pt idx="15">
                  <c:v>73.170731707317074</c:v>
                </c:pt>
                <c:pt idx="16">
                  <c:v>73.170731707317074</c:v>
                </c:pt>
                <c:pt idx="17">
                  <c:v>75</c:v>
                </c:pt>
                <c:pt idx="18">
                  <c:v>76.92307692307692</c:v>
                </c:pt>
                <c:pt idx="19">
                  <c:v>76.92307692307692</c:v>
                </c:pt>
                <c:pt idx="20">
                  <c:v>76.92307692307692</c:v>
                </c:pt>
                <c:pt idx="21">
                  <c:v>78.94736842105263</c:v>
                </c:pt>
                <c:pt idx="22">
                  <c:v>78.94736842105263</c:v>
                </c:pt>
                <c:pt idx="23">
                  <c:v>78.94736842105263</c:v>
                </c:pt>
                <c:pt idx="24">
                  <c:v>78.94736842105263</c:v>
                </c:pt>
                <c:pt idx="25">
                  <c:v>81.081081081081081</c:v>
                </c:pt>
                <c:pt idx="26">
                  <c:v>81.081081081081081</c:v>
                </c:pt>
                <c:pt idx="27">
                  <c:v>81.081081081081081</c:v>
                </c:pt>
                <c:pt idx="28">
                  <c:v>81.081081081081081</c:v>
                </c:pt>
                <c:pt idx="29">
                  <c:v>81.081081081081081</c:v>
                </c:pt>
                <c:pt idx="30">
                  <c:v>83.333333333333329</c:v>
                </c:pt>
                <c:pt idx="31">
                  <c:v>83.333333333333329</c:v>
                </c:pt>
                <c:pt idx="32">
                  <c:v>83.333333333333329</c:v>
                </c:pt>
                <c:pt idx="33">
                  <c:v>85.714285714285708</c:v>
                </c:pt>
                <c:pt idx="34">
                  <c:v>85.714285714285708</c:v>
                </c:pt>
                <c:pt idx="35">
                  <c:v>85.714285714285708</c:v>
                </c:pt>
                <c:pt idx="36">
                  <c:v>85.714285714285708</c:v>
                </c:pt>
                <c:pt idx="37">
                  <c:v>85.714285714285708</c:v>
                </c:pt>
                <c:pt idx="38">
                  <c:v>88.235294117647058</c:v>
                </c:pt>
                <c:pt idx="39">
                  <c:v>90.909090909090907</c:v>
                </c:pt>
                <c:pt idx="40">
                  <c:v>90.909090909090907</c:v>
                </c:pt>
                <c:pt idx="41">
                  <c:v>93.75</c:v>
                </c:pt>
                <c:pt idx="42">
                  <c:v>93.75</c:v>
                </c:pt>
                <c:pt idx="43">
                  <c:v>93.75</c:v>
                </c:pt>
                <c:pt idx="44">
                  <c:v>96.774193548387103</c:v>
                </c:pt>
                <c:pt idx="45">
                  <c:v>96.774193548387103</c:v>
                </c:pt>
                <c:pt idx="46">
                  <c:v>96.774193548387103</c:v>
                </c:pt>
                <c:pt idx="47">
                  <c:v>96.774193548387103</c:v>
                </c:pt>
                <c:pt idx="48">
                  <c:v>96.774193548387103</c:v>
                </c:pt>
                <c:pt idx="49">
                  <c:v>96.774193548387103</c:v>
                </c:pt>
                <c:pt idx="50">
                  <c:v>96.774193548387103</c:v>
                </c:pt>
                <c:pt idx="51">
                  <c:v>96.774193548387103</c:v>
                </c:pt>
                <c:pt idx="52">
                  <c:v>96.774193548387103</c:v>
                </c:pt>
                <c:pt idx="53">
                  <c:v>96.774193548387103</c:v>
                </c:pt>
                <c:pt idx="54">
                  <c:v>96.774193548387103</c:v>
                </c:pt>
                <c:pt idx="55">
                  <c:v>96.774193548387103</c:v>
                </c:pt>
                <c:pt idx="56">
                  <c:v>96.774193548387103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103.44827586206897</c:v>
                </c:pt>
                <c:pt idx="61">
                  <c:v>103.44827586206897</c:v>
                </c:pt>
                <c:pt idx="62">
                  <c:v>103.44827586206897</c:v>
                </c:pt>
                <c:pt idx="63">
                  <c:v>103.44827586206897</c:v>
                </c:pt>
                <c:pt idx="64">
                  <c:v>103.44827586206897</c:v>
                </c:pt>
                <c:pt idx="65">
                  <c:v>103.44827586206897</c:v>
                </c:pt>
                <c:pt idx="66">
                  <c:v>103.44827586206897</c:v>
                </c:pt>
                <c:pt idx="67">
                  <c:v>107.14285714285714</c:v>
                </c:pt>
                <c:pt idx="68">
                  <c:v>107.14285714285714</c:v>
                </c:pt>
                <c:pt idx="69">
                  <c:v>107.14285714285714</c:v>
                </c:pt>
                <c:pt idx="70">
                  <c:v>111.11111111111111</c:v>
                </c:pt>
                <c:pt idx="71">
                  <c:v>111.11111111111111</c:v>
                </c:pt>
                <c:pt idx="72">
                  <c:v>111.11111111111111</c:v>
                </c:pt>
                <c:pt idx="73">
                  <c:v>111.11111111111111</c:v>
                </c:pt>
                <c:pt idx="74">
                  <c:v>111.11111111111111</c:v>
                </c:pt>
                <c:pt idx="75">
                  <c:v>111.11111111111111</c:v>
                </c:pt>
                <c:pt idx="76">
                  <c:v>115.38461538461539</c:v>
                </c:pt>
                <c:pt idx="77">
                  <c:v>115.38461538461539</c:v>
                </c:pt>
                <c:pt idx="78">
                  <c:v>115.38461538461539</c:v>
                </c:pt>
                <c:pt idx="79">
                  <c:v>115.38461538461539</c:v>
                </c:pt>
                <c:pt idx="80">
                  <c:v>115.38461538461539</c:v>
                </c:pt>
                <c:pt idx="81">
                  <c:v>115.38461538461539</c:v>
                </c:pt>
                <c:pt idx="82">
                  <c:v>115.38461538461539</c:v>
                </c:pt>
                <c:pt idx="83">
                  <c:v>115.38461538461539</c:v>
                </c:pt>
                <c:pt idx="84">
                  <c:v>115.38461538461539</c:v>
                </c:pt>
                <c:pt idx="85">
                  <c:v>115.38461538461539</c:v>
                </c:pt>
                <c:pt idx="86">
                  <c:v>115.38461538461539</c:v>
                </c:pt>
                <c:pt idx="87">
                  <c:v>115.38461538461539</c:v>
                </c:pt>
                <c:pt idx="88">
                  <c:v>115.38461538461539</c:v>
                </c:pt>
                <c:pt idx="89">
                  <c:v>120</c:v>
                </c:pt>
                <c:pt idx="90">
                  <c:v>120</c:v>
                </c:pt>
                <c:pt idx="91">
                  <c:v>120</c:v>
                </c:pt>
                <c:pt idx="92">
                  <c:v>120</c:v>
                </c:pt>
                <c:pt idx="93">
                  <c:v>120</c:v>
                </c:pt>
                <c:pt idx="94">
                  <c:v>120</c:v>
                </c:pt>
                <c:pt idx="95">
                  <c:v>120</c:v>
                </c:pt>
                <c:pt idx="96">
                  <c:v>120</c:v>
                </c:pt>
                <c:pt idx="97">
                  <c:v>120</c:v>
                </c:pt>
                <c:pt idx="98">
                  <c:v>120</c:v>
                </c:pt>
                <c:pt idx="99">
                  <c:v>120</c:v>
                </c:pt>
                <c:pt idx="100">
                  <c:v>120</c:v>
                </c:pt>
                <c:pt idx="101">
                  <c:v>120</c:v>
                </c:pt>
                <c:pt idx="102">
                  <c:v>120</c:v>
                </c:pt>
                <c:pt idx="103">
                  <c:v>120</c:v>
                </c:pt>
                <c:pt idx="104">
                  <c:v>120</c:v>
                </c:pt>
                <c:pt idx="105">
                  <c:v>120</c:v>
                </c:pt>
                <c:pt idx="106">
                  <c:v>120</c:v>
                </c:pt>
                <c:pt idx="107">
                  <c:v>120</c:v>
                </c:pt>
                <c:pt idx="108">
                  <c:v>120</c:v>
                </c:pt>
                <c:pt idx="109">
                  <c:v>120</c:v>
                </c:pt>
                <c:pt idx="110">
                  <c:v>120</c:v>
                </c:pt>
                <c:pt idx="111">
                  <c:v>120</c:v>
                </c:pt>
                <c:pt idx="112">
                  <c:v>120</c:v>
                </c:pt>
                <c:pt idx="113">
                  <c:v>120</c:v>
                </c:pt>
                <c:pt idx="114">
                  <c:v>120</c:v>
                </c:pt>
                <c:pt idx="115">
                  <c:v>120</c:v>
                </c:pt>
                <c:pt idx="116">
                  <c:v>120</c:v>
                </c:pt>
                <c:pt idx="117">
                  <c:v>120</c:v>
                </c:pt>
                <c:pt idx="118">
                  <c:v>120</c:v>
                </c:pt>
                <c:pt idx="119">
                  <c:v>120</c:v>
                </c:pt>
                <c:pt idx="120">
                  <c:v>120</c:v>
                </c:pt>
                <c:pt idx="121">
                  <c:v>120</c:v>
                </c:pt>
                <c:pt idx="122">
                  <c:v>120</c:v>
                </c:pt>
                <c:pt idx="123">
                  <c:v>120</c:v>
                </c:pt>
                <c:pt idx="124">
                  <c:v>120</c:v>
                </c:pt>
                <c:pt idx="125">
                  <c:v>120</c:v>
                </c:pt>
                <c:pt idx="126">
                  <c:v>120</c:v>
                </c:pt>
                <c:pt idx="127">
                  <c:v>120</c:v>
                </c:pt>
                <c:pt idx="128">
                  <c:v>120</c:v>
                </c:pt>
                <c:pt idx="129">
                  <c:v>120</c:v>
                </c:pt>
                <c:pt idx="130">
                  <c:v>120</c:v>
                </c:pt>
                <c:pt idx="131">
                  <c:v>120</c:v>
                </c:pt>
                <c:pt idx="132">
                  <c:v>120</c:v>
                </c:pt>
                <c:pt idx="133">
                  <c:v>120</c:v>
                </c:pt>
                <c:pt idx="134">
                  <c:v>120</c:v>
                </c:pt>
                <c:pt idx="135">
                  <c:v>120</c:v>
                </c:pt>
                <c:pt idx="136">
                  <c:v>120</c:v>
                </c:pt>
                <c:pt idx="137">
                  <c:v>120</c:v>
                </c:pt>
                <c:pt idx="138">
                  <c:v>120</c:v>
                </c:pt>
                <c:pt idx="139">
                  <c:v>120</c:v>
                </c:pt>
                <c:pt idx="140">
                  <c:v>120</c:v>
                </c:pt>
                <c:pt idx="141">
                  <c:v>125</c:v>
                </c:pt>
                <c:pt idx="142">
                  <c:v>125</c:v>
                </c:pt>
                <c:pt idx="143">
                  <c:v>125</c:v>
                </c:pt>
                <c:pt idx="144">
                  <c:v>125</c:v>
                </c:pt>
                <c:pt idx="145">
                  <c:v>125</c:v>
                </c:pt>
                <c:pt idx="146">
                  <c:v>125</c:v>
                </c:pt>
                <c:pt idx="147">
                  <c:v>125</c:v>
                </c:pt>
                <c:pt idx="148">
                  <c:v>125</c:v>
                </c:pt>
                <c:pt idx="149">
                  <c:v>125</c:v>
                </c:pt>
                <c:pt idx="150">
                  <c:v>125</c:v>
                </c:pt>
                <c:pt idx="151">
                  <c:v>125</c:v>
                </c:pt>
                <c:pt idx="152">
                  <c:v>125</c:v>
                </c:pt>
                <c:pt idx="153">
                  <c:v>125</c:v>
                </c:pt>
                <c:pt idx="154">
                  <c:v>125</c:v>
                </c:pt>
                <c:pt idx="155">
                  <c:v>125</c:v>
                </c:pt>
                <c:pt idx="156">
                  <c:v>125</c:v>
                </c:pt>
                <c:pt idx="157">
                  <c:v>125</c:v>
                </c:pt>
                <c:pt idx="158">
                  <c:v>125</c:v>
                </c:pt>
                <c:pt idx="159">
                  <c:v>125</c:v>
                </c:pt>
                <c:pt idx="160">
                  <c:v>125</c:v>
                </c:pt>
                <c:pt idx="161">
                  <c:v>125</c:v>
                </c:pt>
                <c:pt idx="162">
                  <c:v>125</c:v>
                </c:pt>
                <c:pt idx="163">
                  <c:v>125</c:v>
                </c:pt>
                <c:pt idx="164">
                  <c:v>125</c:v>
                </c:pt>
                <c:pt idx="165">
                  <c:v>125</c:v>
                </c:pt>
                <c:pt idx="166">
                  <c:v>125</c:v>
                </c:pt>
                <c:pt idx="167">
                  <c:v>125</c:v>
                </c:pt>
                <c:pt idx="168">
                  <c:v>125</c:v>
                </c:pt>
                <c:pt idx="169">
                  <c:v>125</c:v>
                </c:pt>
                <c:pt idx="170">
                  <c:v>130.43478260869566</c:v>
                </c:pt>
                <c:pt idx="171">
                  <c:v>130.43478260869566</c:v>
                </c:pt>
                <c:pt idx="172">
                  <c:v>130.43478260869566</c:v>
                </c:pt>
                <c:pt idx="173">
                  <c:v>130.43478260869566</c:v>
                </c:pt>
                <c:pt idx="174">
                  <c:v>130.43478260869566</c:v>
                </c:pt>
                <c:pt idx="175">
                  <c:v>130.43478260869566</c:v>
                </c:pt>
                <c:pt idx="176">
                  <c:v>130.43478260869566</c:v>
                </c:pt>
                <c:pt idx="177">
                  <c:v>130.43478260869566</c:v>
                </c:pt>
                <c:pt idx="178">
                  <c:v>130.43478260869566</c:v>
                </c:pt>
                <c:pt idx="179">
                  <c:v>130.43478260869566</c:v>
                </c:pt>
                <c:pt idx="180">
                  <c:v>130.43478260869566</c:v>
                </c:pt>
                <c:pt idx="181">
                  <c:v>130.43478260869566</c:v>
                </c:pt>
                <c:pt idx="182">
                  <c:v>130.43478260869566</c:v>
                </c:pt>
                <c:pt idx="183">
                  <c:v>130.43478260869566</c:v>
                </c:pt>
                <c:pt idx="184">
                  <c:v>136.36363636363637</c:v>
                </c:pt>
                <c:pt idx="185">
                  <c:v>136.36363636363637</c:v>
                </c:pt>
                <c:pt idx="186">
                  <c:v>136.36363636363637</c:v>
                </c:pt>
                <c:pt idx="187">
                  <c:v>136.36363636363637</c:v>
                </c:pt>
                <c:pt idx="188">
                  <c:v>136.36363636363637</c:v>
                </c:pt>
                <c:pt idx="189">
                  <c:v>136.36363636363637</c:v>
                </c:pt>
                <c:pt idx="190">
                  <c:v>136.36363636363637</c:v>
                </c:pt>
                <c:pt idx="191">
                  <c:v>136.36363636363637</c:v>
                </c:pt>
                <c:pt idx="192">
                  <c:v>136.36363636363637</c:v>
                </c:pt>
                <c:pt idx="193">
                  <c:v>136.36363636363637</c:v>
                </c:pt>
                <c:pt idx="194">
                  <c:v>136.36363636363637</c:v>
                </c:pt>
                <c:pt idx="195">
                  <c:v>136.36363636363637</c:v>
                </c:pt>
                <c:pt idx="196">
                  <c:v>136.36363636363637</c:v>
                </c:pt>
                <c:pt idx="197">
                  <c:v>136.36363636363637</c:v>
                </c:pt>
                <c:pt idx="198">
                  <c:v>136.36363636363637</c:v>
                </c:pt>
                <c:pt idx="199">
                  <c:v>136.36363636363637</c:v>
                </c:pt>
                <c:pt idx="200">
                  <c:v>136.36363636363637</c:v>
                </c:pt>
                <c:pt idx="201">
                  <c:v>136.36363636363637</c:v>
                </c:pt>
                <c:pt idx="202">
                  <c:v>136.36363636363637</c:v>
                </c:pt>
                <c:pt idx="203">
                  <c:v>136.36363636363637</c:v>
                </c:pt>
                <c:pt idx="204">
                  <c:v>136.36363636363637</c:v>
                </c:pt>
                <c:pt idx="205">
                  <c:v>136.36363636363637</c:v>
                </c:pt>
                <c:pt idx="206">
                  <c:v>136.36363636363637</c:v>
                </c:pt>
                <c:pt idx="207">
                  <c:v>136.36363636363637</c:v>
                </c:pt>
                <c:pt idx="208">
                  <c:v>136.36363636363637</c:v>
                </c:pt>
                <c:pt idx="209">
                  <c:v>136.36363636363637</c:v>
                </c:pt>
                <c:pt idx="210">
                  <c:v>142.85714285714286</c:v>
                </c:pt>
                <c:pt idx="211">
                  <c:v>142.85714285714286</c:v>
                </c:pt>
                <c:pt idx="212">
                  <c:v>142.85714285714286</c:v>
                </c:pt>
                <c:pt idx="213">
                  <c:v>142.85714285714286</c:v>
                </c:pt>
                <c:pt idx="214">
                  <c:v>142.85714285714286</c:v>
                </c:pt>
                <c:pt idx="215">
                  <c:v>142.85714285714286</c:v>
                </c:pt>
                <c:pt idx="216">
                  <c:v>142.85714285714286</c:v>
                </c:pt>
                <c:pt idx="217">
                  <c:v>142.85714285714286</c:v>
                </c:pt>
                <c:pt idx="218">
                  <c:v>142.85714285714286</c:v>
                </c:pt>
                <c:pt idx="219">
                  <c:v>142.85714285714286</c:v>
                </c:pt>
                <c:pt idx="220">
                  <c:v>142.85714285714286</c:v>
                </c:pt>
                <c:pt idx="221">
                  <c:v>142.85714285714286</c:v>
                </c:pt>
                <c:pt idx="222">
                  <c:v>142.85714285714286</c:v>
                </c:pt>
                <c:pt idx="223">
                  <c:v>142.85714285714286</c:v>
                </c:pt>
                <c:pt idx="224">
                  <c:v>142.85714285714286</c:v>
                </c:pt>
                <c:pt idx="225">
                  <c:v>142.85714285714286</c:v>
                </c:pt>
                <c:pt idx="226">
                  <c:v>142.85714285714286</c:v>
                </c:pt>
                <c:pt idx="227">
                  <c:v>142.85714285714286</c:v>
                </c:pt>
                <c:pt idx="228">
                  <c:v>142.85714285714286</c:v>
                </c:pt>
                <c:pt idx="229">
                  <c:v>142.85714285714286</c:v>
                </c:pt>
                <c:pt idx="230">
                  <c:v>142.85714285714286</c:v>
                </c:pt>
                <c:pt idx="231">
                  <c:v>142.85714285714286</c:v>
                </c:pt>
                <c:pt idx="232">
                  <c:v>142.85714285714286</c:v>
                </c:pt>
                <c:pt idx="233">
                  <c:v>142.85714285714286</c:v>
                </c:pt>
                <c:pt idx="234">
                  <c:v>142.85714285714286</c:v>
                </c:pt>
                <c:pt idx="235">
                  <c:v>142.85714285714286</c:v>
                </c:pt>
                <c:pt idx="236">
                  <c:v>142.85714285714286</c:v>
                </c:pt>
                <c:pt idx="237">
                  <c:v>142.85714285714286</c:v>
                </c:pt>
                <c:pt idx="238">
                  <c:v>142.85714285714286</c:v>
                </c:pt>
                <c:pt idx="239">
                  <c:v>142.85714285714286</c:v>
                </c:pt>
                <c:pt idx="240">
                  <c:v>142.85714285714286</c:v>
                </c:pt>
                <c:pt idx="241">
                  <c:v>142.85714285714286</c:v>
                </c:pt>
                <c:pt idx="242">
                  <c:v>142.85714285714286</c:v>
                </c:pt>
                <c:pt idx="243">
                  <c:v>142.85714285714286</c:v>
                </c:pt>
                <c:pt idx="244">
                  <c:v>142.85714285714286</c:v>
                </c:pt>
                <c:pt idx="245">
                  <c:v>142.85714285714286</c:v>
                </c:pt>
                <c:pt idx="246">
                  <c:v>142.85714285714286</c:v>
                </c:pt>
                <c:pt idx="247">
                  <c:v>142.85714285714286</c:v>
                </c:pt>
                <c:pt idx="248">
                  <c:v>142.85714285714286</c:v>
                </c:pt>
                <c:pt idx="249">
                  <c:v>142.85714285714286</c:v>
                </c:pt>
                <c:pt idx="250">
                  <c:v>142.85714285714286</c:v>
                </c:pt>
                <c:pt idx="251">
                  <c:v>142.85714285714286</c:v>
                </c:pt>
                <c:pt idx="252">
                  <c:v>142.85714285714286</c:v>
                </c:pt>
                <c:pt idx="253">
                  <c:v>142.85714285714286</c:v>
                </c:pt>
                <c:pt idx="254">
                  <c:v>142.85714285714286</c:v>
                </c:pt>
                <c:pt idx="255">
                  <c:v>142.85714285714286</c:v>
                </c:pt>
                <c:pt idx="256">
                  <c:v>142.85714285714286</c:v>
                </c:pt>
                <c:pt idx="257">
                  <c:v>142.85714285714286</c:v>
                </c:pt>
                <c:pt idx="258">
                  <c:v>142.85714285714286</c:v>
                </c:pt>
                <c:pt idx="259">
                  <c:v>142.85714285714286</c:v>
                </c:pt>
                <c:pt idx="260">
                  <c:v>142.85714285714286</c:v>
                </c:pt>
                <c:pt idx="261">
                  <c:v>142.85714285714286</c:v>
                </c:pt>
                <c:pt idx="262">
                  <c:v>142.85714285714286</c:v>
                </c:pt>
                <c:pt idx="263">
                  <c:v>142.85714285714286</c:v>
                </c:pt>
                <c:pt idx="264">
                  <c:v>142.85714285714286</c:v>
                </c:pt>
                <c:pt idx="265">
                  <c:v>142.85714285714286</c:v>
                </c:pt>
                <c:pt idx="266">
                  <c:v>142.85714285714286</c:v>
                </c:pt>
                <c:pt idx="267">
                  <c:v>142.85714285714286</c:v>
                </c:pt>
                <c:pt idx="268">
                  <c:v>142.85714285714286</c:v>
                </c:pt>
                <c:pt idx="269">
                  <c:v>142.85714285714286</c:v>
                </c:pt>
                <c:pt idx="270">
                  <c:v>142.85714285714286</c:v>
                </c:pt>
                <c:pt idx="271">
                  <c:v>142.85714285714286</c:v>
                </c:pt>
                <c:pt idx="272">
                  <c:v>142.85714285714286</c:v>
                </c:pt>
                <c:pt idx="273">
                  <c:v>142.85714285714286</c:v>
                </c:pt>
                <c:pt idx="274">
                  <c:v>142.85714285714286</c:v>
                </c:pt>
                <c:pt idx="275">
                  <c:v>142.85714285714286</c:v>
                </c:pt>
                <c:pt idx="276">
                  <c:v>142.85714285714286</c:v>
                </c:pt>
                <c:pt idx="277">
                  <c:v>142.85714285714286</c:v>
                </c:pt>
                <c:pt idx="278">
                  <c:v>142.85714285714286</c:v>
                </c:pt>
                <c:pt idx="279">
                  <c:v>142.85714285714286</c:v>
                </c:pt>
                <c:pt idx="280">
                  <c:v>142.85714285714286</c:v>
                </c:pt>
                <c:pt idx="281">
                  <c:v>142.85714285714286</c:v>
                </c:pt>
                <c:pt idx="282">
                  <c:v>142.85714285714286</c:v>
                </c:pt>
                <c:pt idx="283">
                  <c:v>142.85714285714286</c:v>
                </c:pt>
                <c:pt idx="284">
                  <c:v>142.85714285714286</c:v>
                </c:pt>
                <c:pt idx="285">
                  <c:v>142.85714285714286</c:v>
                </c:pt>
                <c:pt idx="286">
                  <c:v>142.85714285714286</c:v>
                </c:pt>
                <c:pt idx="287">
                  <c:v>142.85714285714286</c:v>
                </c:pt>
                <c:pt idx="288">
                  <c:v>142.85714285714286</c:v>
                </c:pt>
                <c:pt idx="289">
                  <c:v>142.85714285714286</c:v>
                </c:pt>
                <c:pt idx="290">
                  <c:v>142.85714285714286</c:v>
                </c:pt>
                <c:pt idx="291">
                  <c:v>142.85714285714286</c:v>
                </c:pt>
                <c:pt idx="292">
                  <c:v>142.85714285714286</c:v>
                </c:pt>
                <c:pt idx="293">
                  <c:v>142.85714285714286</c:v>
                </c:pt>
                <c:pt idx="294">
                  <c:v>142.85714285714286</c:v>
                </c:pt>
                <c:pt idx="295">
                  <c:v>142.85714285714286</c:v>
                </c:pt>
                <c:pt idx="296">
                  <c:v>142.85714285714286</c:v>
                </c:pt>
                <c:pt idx="297">
                  <c:v>142.85714285714286</c:v>
                </c:pt>
                <c:pt idx="298">
                  <c:v>142.85714285714286</c:v>
                </c:pt>
                <c:pt idx="299">
                  <c:v>142.85714285714286</c:v>
                </c:pt>
                <c:pt idx="300">
                  <c:v>142.85714285714286</c:v>
                </c:pt>
                <c:pt idx="301">
                  <c:v>142.85714285714286</c:v>
                </c:pt>
                <c:pt idx="302">
                  <c:v>142.85714285714286</c:v>
                </c:pt>
                <c:pt idx="303">
                  <c:v>142.85714285714286</c:v>
                </c:pt>
                <c:pt idx="304">
                  <c:v>142.85714285714286</c:v>
                </c:pt>
                <c:pt idx="305">
                  <c:v>142.85714285714286</c:v>
                </c:pt>
                <c:pt idx="306">
                  <c:v>142.85714285714286</c:v>
                </c:pt>
                <c:pt idx="307">
                  <c:v>142.85714285714286</c:v>
                </c:pt>
                <c:pt idx="308">
                  <c:v>142.85714285714286</c:v>
                </c:pt>
                <c:pt idx="309">
                  <c:v>142.85714285714286</c:v>
                </c:pt>
                <c:pt idx="310">
                  <c:v>142.85714285714286</c:v>
                </c:pt>
                <c:pt idx="311">
                  <c:v>142.85714285714286</c:v>
                </c:pt>
                <c:pt idx="312">
                  <c:v>142.85714285714286</c:v>
                </c:pt>
                <c:pt idx="313">
                  <c:v>142.85714285714286</c:v>
                </c:pt>
                <c:pt idx="314">
                  <c:v>142.85714285714286</c:v>
                </c:pt>
                <c:pt idx="315">
                  <c:v>142.85714285714286</c:v>
                </c:pt>
                <c:pt idx="316">
                  <c:v>142.85714285714286</c:v>
                </c:pt>
                <c:pt idx="317">
                  <c:v>142.85714285714286</c:v>
                </c:pt>
                <c:pt idx="318">
                  <c:v>142.85714285714286</c:v>
                </c:pt>
                <c:pt idx="319">
                  <c:v>142.85714285714286</c:v>
                </c:pt>
                <c:pt idx="320">
                  <c:v>142.85714285714286</c:v>
                </c:pt>
                <c:pt idx="321">
                  <c:v>142.85714285714286</c:v>
                </c:pt>
                <c:pt idx="322">
                  <c:v>142.85714285714286</c:v>
                </c:pt>
                <c:pt idx="323">
                  <c:v>142.85714285714286</c:v>
                </c:pt>
                <c:pt idx="324">
                  <c:v>142.85714285714286</c:v>
                </c:pt>
                <c:pt idx="325">
                  <c:v>142.85714285714286</c:v>
                </c:pt>
                <c:pt idx="326">
                  <c:v>142.85714285714286</c:v>
                </c:pt>
                <c:pt idx="327">
                  <c:v>142.85714285714286</c:v>
                </c:pt>
                <c:pt idx="328">
                  <c:v>142.85714285714286</c:v>
                </c:pt>
                <c:pt idx="329">
                  <c:v>142.85714285714286</c:v>
                </c:pt>
                <c:pt idx="330">
                  <c:v>142.85714285714286</c:v>
                </c:pt>
                <c:pt idx="331">
                  <c:v>142.85714285714286</c:v>
                </c:pt>
                <c:pt idx="332">
                  <c:v>142.85714285714286</c:v>
                </c:pt>
                <c:pt idx="333">
                  <c:v>142.85714285714286</c:v>
                </c:pt>
                <c:pt idx="334">
                  <c:v>142.85714285714286</c:v>
                </c:pt>
                <c:pt idx="335">
                  <c:v>142.85714285714286</c:v>
                </c:pt>
                <c:pt idx="336">
                  <c:v>142.85714285714286</c:v>
                </c:pt>
                <c:pt idx="337">
                  <c:v>142.85714285714286</c:v>
                </c:pt>
                <c:pt idx="338">
                  <c:v>142.85714285714286</c:v>
                </c:pt>
                <c:pt idx="339">
                  <c:v>142.85714285714286</c:v>
                </c:pt>
                <c:pt idx="340">
                  <c:v>142.85714285714286</c:v>
                </c:pt>
                <c:pt idx="341">
                  <c:v>142.85714285714286</c:v>
                </c:pt>
                <c:pt idx="342">
                  <c:v>142.85714285714286</c:v>
                </c:pt>
                <c:pt idx="343">
                  <c:v>142.85714285714286</c:v>
                </c:pt>
                <c:pt idx="344">
                  <c:v>142.85714285714286</c:v>
                </c:pt>
                <c:pt idx="345">
                  <c:v>142.85714285714286</c:v>
                </c:pt>
                <c:pt idx="346">
                  <c:v>142.85714285714286</c:v>
                </c:pt>
                <c:pt idx="347">
                  <c:v>142.85714285714286</c:v>
                </c:pt>
                <c:pt idx="348">
                  <c:v>142.85714285714286</c:v>
                </c:pt>
                <c:pt idx="349">
                  <c:v>142.85714285714286</c:v>
                </c:pt>
                <c:pt idx="350">
                  <c:v>142.85714285714286</c:v>
                </c:pt>
                <c:pt idx="351">
                  <c:v>142.85714285714286</c:v>
                </c:pt>
                <c:pt idx="352">
                  <c:v>142.85714285714286</c:v>
                </c:pt>
                <c:pt idx="353">
                  <c:v>142.85714285714286</c:v>
                </c:pt>
                <c:pt idx="354">
                  <c:v>142.85714285714286</c:v>
                </c:pt>
                <c:pt idx="355">
                  <c:v>142.85714285714286</c:v>
                </c:pt>
                <c:pt idx="356">
                  <c:v>142.85714285714286</c:v>
                </c:pt>
                <c:pt idx="357">
                  <c:v>142.85714285714286</c:v>
                </c:pt>
                <c:pt idx="358">
                  <c:v>142.85714285714286</c:v>
                </c:pt>
                <c:pt idx="359">
                  <c:v>142.85714285714286</c:v>
                </c:pt>
                <c:pt idx="360">
                  <c:v>142.85714285714286</c:v>
                </c:pt>
                <c:pt idx="361">
                  <c:v>142.85714285714286</c:v>
                </c:pt>
                <c:pt idx="362">
                  <c:v>142.85714285714286</c:v>
                </c:pt>
                <c:pt idx="363">
                  <c:v>142.85714285714286</c:v>
                </c:pt>
                <c:pt idx="364">
                  <c:v>142.85714285714286</c:v>
                </c:pt>
                <c:pt idx="365">
                  <c:v>142.85714285714286</c:v>
                </c:pt>
                <c:pt idx="366">
                  <c:v>142.85714285714286</c:v>
                </c:pt>
                <c:pt idx="367">
                  <c:v>142.85714285714286</c:v>
                </c:pt>
                <c:pt idx="368">
                  <c:v>142.85714285714286</c:v>
                </c:pt>
                <c:pt idx="369">
                  <c:v>142.85714285714286</c:v>
                </c:pt>
                <c:pt idx="370">
                  <c:v>142.85714285714286</c:v>
                </c:pt>
                <c:pt idx="371">
                  <c:v>142.85714285714286</c:v>
                </c:pt>
                <c:pt idx="372">
                  <c:v>142.85714285714286</c:v>
                </c:pt>
                <c:pt idx="373">
                  <c:v>142.85714285714286</c:v>
                </c:pt>
                <c:pt idx="374">
                  <c:v>142.85714285714286</c:v>
                </c:pt>
                <c:pt idx="375">
                  <c:v>142.85714285714286</c:v>
                </c:pt>
                <c:pt idx="376">
                  <c:v>142.85714285714286</c:v>
                </c:pt>
                <c:pt idx="377">
                  <c:v>142.85714285714286</c:v>
                </c:pt>
                <c:pt idx="378">
                  <c:v>142.85714285714286</c:v>
                </c:pt>
                <c:pt idx="379">
                  <c:v>142.85714285714286</c:v>
                </c:pt>
                <c:pt idx="380">
                  <c:v>142.85714285714286</c:v>
                </c:pt>
                <c:pt idx="381">
                  <c:v>142.85714285714286</c:v>
                </c:pt>
                <c:pt idx="382">
                  <c:v>142.85714285714286</c:v>
                </c:pt>
                <c:pt idx="383">
                  <c:v>142.85714285714286</c:v>
                </c:pt>
                <c:pt idx="384">
                  <c:v>142.85714285714286</c:v>
                </c:pt>
                <c:pt idx="385">
                  <c:v>142.85714285714286</c:v>
                </c:pt>
                <c:pt idx="386">
                  <c:v>142.85714285714286</c:v>
                </c:pt>
                <c:pt idx="387">
                  <c:v>142.85714285714286</c:v>
                </c:pt>
                <c:pt idx="388">
                  <c:v>142.85714285714286</c:v>
                </c:pt>
                <c:pt idx="389">
                  <c:v>142.85714285714286</c:v>
                </c:pt>
                <c:pt idx="390">
                  <c:v>142.85714285714286</c:v>
                </c:pt>
                <c:pt idx="391">
                  <c:v>142.85714285714286</c:v>
                </c:pt>
                <c:pt idx="392">
                  <c:v>142.85714285714286</c:v>
                </c:pt>
                <c:pt idx="393">
                  <c:v>142.85714285714286</c:v>
                </c:pt>
                <c:pt idx="394">
                  <c:v>142.85714285714286</c:v>
                </c:pt>
                <c:pt idx="395">
                  <c:v>142.85714285714286</c:v>
                </c:pt>
                <c:pt idx="396">
                  <c:v>142.85714285714286</c:v>
                </c:pt>
                <c:pt idx="397">
                  <c:v>142.85714285714286</c:v>
                </c:pt>
                <c:pt idx="398">
                  <c:v>142.85714285714286</c:v>
                </c:pt>
                <c:pt idx="399">
                  <c:v>142.85714285714286</c:v>
                </c:pt>
                <c:pt idx="400">
                  <c:v>142.85714285714286</c:v>
                </c:pt>
                <c:pt idx="401">
                  <c:v>142.85714285714286</c:v>
                </c:pt>
                <c:pt idx="402">
                  <c:v>142.85714285714286</c:v>
                </c:pt>
                <c:pt idx="403">
                  <c:v>142.85714285714286</c:v>
                </c:pt>
                <c:pt idx="404">
                  <c:v>142.85714285714286</c:v>
                </c:pt>
                <c:pt idx="405">
                  <c:v>142.85714285714286</c:v>
                </c:pt>
                <c:pt idx="406">
                  <c:v>142.85714285714286</c:v>
                </c:pt>
                <c:pt idx="407">
                  <c:v>142.85714285714286</c:v>
                </c:pt>
                <c:pt idx="408">
                  <c:v>150</c:v>
                </c:pt>
                <c:pt idx="409">
                  <c:v>150</c:v>
                </c:pt>
                <c:pt idx="410">
                  <c:v>150</c:v>
                </c:pt>
                <c:pt idx="411">
                  <c:v>150</c:v>
                </c:pt>
                <c:pt idx="412">
                  <c:v>150</c:v>
                </c:pt>
                <c:pt idx="413">
                  <c:v>150</c:v>
                </c:pt>
                <c:pt idx="414">
                  <c:v>150</c:v>
                </c:pt>
                <c:pt idx="415">
                  <c:v>150</c:v>
                </c:pt>
                <c:pt idx="416">
                  <c:v>150</c:v>
                </c:pt>
                <c:pt idx="417">
                  <c:v>150</c:v>
                </c:pt>
                <c:pt idx="418">
                  <c:v>150</c:v>
                </c:pt>
                <c:pt idx="419">
                  <c:v>150</c:v>
                </c:pt>
                <c:pt idx="420">
                  <c:v>150</c:v>
                </c:pt>
                <c:pt idx="421">
                  <c:v>150</c:v>
                </c:pt>
                <c:pt idx="422">
                  <c:v>157.89473684210526</c:v>
                </c:pt>
                <c:pt idx="423">
                  <c:v>157.89473684210526</c:v>
                </c:pt>
                <c:pt idx="424">
                  <c:v>157.89473684210526</c:v>
                </c:pt>
                <c:pt idx="425">
                  <c:v>157.89473684210526</c:v>
                </c:pt>
                <c:pt idx="426">
                  <c:v>157.89473684210526</c:v>
                </c:pt>
                <c:pt idx="427">
                  <c:v>157.89473684210526</c:v>
                </c:pt>
                <c:pt idx="428">
                  <c:v>157.89473684210526</c:v>
                </c:pt>
                <c:pt idx="429">
                  <c:v>157.89473684210526</c:v>
                </c:pt>
                <c:pt idx="430">
                  <c:v>157.89473684210526</c:v>
                </c:pt>
                <c:pt idx="431">
                  <c:v>157.89473684210526</c:v>
                </c:pt>
                <c:pt idx="432">
                  <c:v>157.89473684210526</c:v>
                </c:pt>
                <c:pt idx="433">
                  <c:v>157.89473684210526</c:v>
                </c:pt>
                <c:pt idx="434">
                  <c:v>157.89473684210526</c:v>
                </c:pt>
                <c:pt idx="435">
                  <c:v>157.89473684210526</c:v>
                </c:pt>
                <c:pt idx="436">
                  <c:v>157.89473684210526</c:v>
                </c:pt>
                <c:pt idx="437">
                  <c:v>157.89473684210526</c:v>
                </c:pt>
                <c:pt idx="438">
                  <c:v>157.89473684210526</c:v>
                </c:pt>
                <c:pt idx="439">
                  <c:v>157.89473684210526</c:v>
                </c:pt>
                <c:pt idx="440">
                  <c:v>157.89473684210526</c:v>
                </c:pt>
                <c:pt idx="441">
                  <c:v>157.89473684210526</c:v>
                </c:pt>
                <c:pt idx="442">
                  <c:v>157.89473684210526</c:v>
                </c:pt>
                <c:pt idx="443">
                  <c:v>157.89473684210526</c:v>
                </c:pt>
                <c:pt idx="444">
                  <c:v>157.89473684210526</c:v>
                </c:pt>
                <c:pt idx="445">
                  <c:v>157.89473684210526</c:v>
                </c:pt>
                <c:pt idx="446">
                  <c:v>157.89473684210526</c:v>
                </c:pt>
                <c:pt idx="447">
                  <c:v>157.89473684210526</c:v>
                </c:pt>
                <c:pt idx="448">
                  <c:v>157.89473684210526</c:v>
                </c:pt>
                <c:pt idx="449">
                  <c:v>157.89473684210526</c:v>
                </c:pt>
                <c:pt idx="450">
                  <c:v>157.89473684210526</c:v>
                </c:pt>
                <c:pt idx="451">
                  <c:v>157.89473684210526</c:v>
                </c:pt>
                <c:pt idx="452">
                  <c:v>157.89473684210526</c:v>
                </c:pt>
                <c:pt idx="453">
                  <c:v>157.89473684210526</c:v>
                </c:pt>
                <c:pt idx="454">
                  <c:v>157.89473684210526</c:v>
                </c:pt>
                <c:pt idx="455">
                  <c:v>157.89473684210526</c:v>
                </c:pt>
                <c:pt idx="456">
                  <c:v>157.89473684210526</c:v>
                </c:pt>
                <c:pt idx="457">
                  <c:v>157.89473684210526</c:v>
                </c:pt>
                <c:pt idx="458">
                  <c:v>157.89473684210526</c:v>
                </c:pt>
                <c:pt idx="459">
                  <c:v>157.89473684210526</c:v>
                </c:pt>
                <c:pt idx="460">
                  <c:v>157.89473684210526</c:v>
                </c:pt>
                <c:pt idx="461">
                  <c:v>157.89473684210526</c:v>
                </c:pt>
                <c:pt idx="462">
                  <c:v>157.89473684210526</c:v>
                </c:pt>
                <c:pt idx="463">
                  <c:v>157.89473684210526</c:v>
                </c:pt>
                <c:pt idx="464">
                  <c:v>157.89473684210526</c:v>
                </c:pt>
                <c:pt idx="465">
                  <c:v>157.89473684210526</c:v>
                </c:pt>
                <c:pt idx="466">
                  <c:v>157.89473684210526</c:v>
                </c:pt>
                <c:pt idx="467">
                  <c:v>157.89473684210526</c:v>
                </c:pt>
                <c:pt idx="468">
                  <c:v>157.89473684210526</c:v>
                </c:pt>
                <c:pt idx="469">
                  <c:v>157.89473684210526</c:v>
                </c:pt>
                <c:pt idx="470">
                  <c:v>157.89473684210526</c:v>
                </c:pt>
                <c:pt idx="471">
                  <c:v>157.89473684210526</c:v>
                </c:pt>
                <c:pt idx="472">
                  <c:v>157.89473684210526</c:v>
                </c:pt>
                <c:pt idx="473">
                  <c:v>157.89473684210526</c:v>
                </c:pt>
                <c:pt idx="474">
                  <c:v>157.89473684210526</c:v>
                </c:pt>
                <c:pt idx="475">
                  <c:v>157.89473684210526</c:v>
                </c:pt>
                <c:pt idx="476">
                  <c:v>157.89473684210526</c:v>
                </c:pt>
                <c:pt idx="477">
                  <c:v>157.89473684210526</c:v>
                </c:pt>
                <c:pt idx="478">
                  <c:v>157.89473684210526</c:v>
                </c:pt>
                <c:pt idx="479">
                  <c:v>157.89473684210526</c:v>
                </c:pt>
                <c:pt idx="480">
                  <c:v>157.89473684210526</c:v>
                </c:pt>
                <c:pt idx="481">
                  <c:v>157.89473684210526</c:v>
                </c:pt>
                <c:pt idx="482">
                  <c:v>157.89473684210526</c:v>
                </c:pt>
                <c:pt idx="483">
                  <c:v>157.89473684210526</c:v>
                </c:pt>
                <c:pt idx="484">
                  <c:v>157.89473684210526</c:v>
                </c:pt>
                <c:pt idx="485">
                  <c:v>157.89473684210526</c:v>
                </c:pt>
                <c:pt idx="486">
                  <c:v>157.89473684210526</c:v>
                </c:pt>
                <c:pt idx="487">
                  <c:v>157.89473684210526</c:v>
                </c:pt>
                <c:pt idx="488">
                  <c:v>157.89473684210526</c:v>
                </c:pt>
                <c:pt idx="489">
                  <c:v>157.89473684210526</c:v>
                </c:pt>
                <c:pt idx="490">
                  <c:v>157.89473684210526</c:v>
                </c:pt>
                <c:pt idx="491">
                  <c:v>157.89473684210526</c:v>
                </c:pt>
                <c:pt idx="492">
                  <c:v>157.89473684210526</c:v>
                </c:pt>
                <c:pt idx="493">
                  <c:v>157.89473684210526</c:v>
                </c:pt>
                <c:pt idx="494">
                  <c:v>157.89473684210526</c:v>
                </c:pt>
                <c:pt idx="495">
                  <c:v>157.89473684210526</c:v>
                </c:pt>
                <c:pt idx="496">
                  <c:v>157.89473684210526</c:v>
                </c:pt>
                <c:pt idx="497">
                  <c:v>157.89473684210526</c:v>
                </c:pt>
                <c:pt idx="498">
                  <c:v>157.89473684210526</c:v>
                </c:pt>
                <c:pt idx="499">
                  <c:v>157.89473684210526</c:v>
                </c:pt>
                <c:pt idx="500">
                  <c:v>157.89473684210526</c:v>
                </c:pt>
                <c:pt idx="501">
                  <c:v>157.89473684210526</c:v>
                </c:pt>
                <c:pt idx="502">
                  <c:v>157.89473684210526</c:v>
                </c:pt>
                <c:pt idx="503">
                  <c:v>157.89473684210526</c:v>
                </c:pt>
                <c:pt idx="504">
                  <c:v>157.89473684210526</c:v>
                </c:pt>
                <c:pt idx="505">
                  <c:v>157.89473684210526</c:v>
                </c:pt>
                <c:pt idx="506">
                  <c:v>157.89473684210526</c:v>
                </c:pt>
                <c:pt idx="507">
                  <c:v>157.89473684210526</c:v>
                </c:pt>
                <c:pt idx="508">
                  <c:v>157.89473684210526</c:v>
                </c:pt>
                <c:pt idx="509">
                  <c:v>157.89473684210526</c:v>
                </c:pt>
                <c:pt idx="510">
                  <c:v>157.89473684210526</c:v>
                </c:pt>
                <c:pt idx="511">
                  <c:v>157.89473684210526</c:v>
                </c:pt>
                <c:pt idx="512">
                  <c:v>157.89473684210526</c:v>
                </c:pt>
                <c:pt idx="513">
                  <c:v>157.89473684210526</c:v>
                </c:pt>
                <c:pt idx="514">
                  <c:v>157.89473684210526</c:v>
                </c:pt>
                <c:pt idx="515">
                  <c:v>157.89473684210526</c:v>
                </c:pt>
                <c:pt idx="516">
                  <c:v>157.89473684210526</c:v>
                </c:pt>
                <c:pt idx="517">
                  <c:v>157.89473684210526</c:v>
                </c:pt>
                <c:pt idx="518">
                  <c:v>157.89473684210526</c:v>
                </c:pt>
                <c:pt idx="519">
                  <c:v>157.89473684210526</c:v>
                </c:pt>
                <c:pt idx="520">
                  <c:v>157.89473684210526</c:v>
                </c:pt>
                <c:pt idx="521">
                  <c:v>157.89473684210526</c:v>
                </c:pt>
                <c:pt idx="522">
                  <c:v>157.89473684210526</c:v>
                </c:pt>
                <c:pt idx="523">
                  <c:v>157.89473684210526</c:v>
                </c:pt>
                <c:pt idx="524">
                  <c:v>157.89473684210526</c:v>
                </c:pt>
                <c:pt idx="525">
                  <c:v>157.89473684210526</c:v>
                </c:pt>
                <c:pt idx="526">
                  <c:v>157.89473684210526</c:v>
                </c:pt>
                <c:pt idx="527">
                  <c:v>157.89473684210526</c:v>
                </c:pt>
                <c:pt idx="528">
                  <c:v>157.89473684210526</c:v>
                </c:pt>
                <c:pt idx="529">
                  <c:v>157.89473684210526</c:v>
                </c:pt>
                <c:pt idx="530">
                  <c:v>157.89473684210526</c:v>
                </c:pt>
                <c:pt idx="531">
                  <c:v>157.89473684210526</c:v>
                </c:pt>
                <c:pt idx="532">
                  <c:v>157.89473684210526</c:v>
                </c:pt>
                <c:pt idx="533">
                  <c:v>157.89473684210526</c:v>
                </c:pt>
                <c:pt idx="534">
                  <c:v>157.89473684210526</c:v>
                </c:pt>
                <c:pt idx="535">
                  <c:v>157.89473684210526</c:v>
                </c:pt>
                <c:pt idx="536">
                  <c:v>157.89473684210526</c:v>
                </c:pt>
                <c:pt idx="537">
                  <c:v>157.89473684210526</c:v>
                </c:pt>
                <c:pt idx="538">
                  <c:v>157.89473684210526</c:v>
                </c:pt>
                <c:pt idx="539">
                  <c:v>157.89473684210526</c:v>
                </c:pt>
                <c:pt idx="540">
                  <c:v>157.89473684210526</c:v>
                </c:pt>
                <c:pt idx="541">
                  <c:v>157.89473684210526</c:v>
                </c:pt>
                <c:pt idx="542">
                  <c:v>157.89473684210526</c:v>
                </c:pt>
                <c:pt idx="543">
                  <c:v>157.89473684210526</c:v>
                </c:pt>
                <c:pt idx="544">
                  <c:v>157.89473684210526</c:v>
                </c:pt>
                <c:pt idx="545">
                  <c:v>157.89473684210526</c:v>
                </c:pt>
                <c:pt idx="546">
                  <c:v>157.89473684210526</c:v>
                </c:pt>
                <c:pt idx="547">
                  <c:v>157.89473684210526</c:v>
                </c:pt>
                <c:pt idx="548">
                  <c:v>157.89473684210526</c:v>
                </c:pt>
                <c:pt idx="549">
                  <c:v>157.89473684210526</c:v>
                </c:pt>
                <c:pt idx="550">
                  <c:v>157.89473684210526</c:v>
                </c:pt>
                <c:pt idx="551">
                  <c:v>157.89473684210526</c:v>
                </c:pt>
                <c:pt idx="552">
                  <c:v>157.89473684210526</c:v>
                </c:pt>
                <c:pt idx="553">
                  <c:v>157.89473684210526</c:v>
                </c:pt>
                <c:pt idx="554">
                  <c:v>157.89473684210526</c:v>
                </c:pt>
                <c:pt idx="555">
                  <c:v>157.89473684210526</c:v>
                </c:pt>
                <c:pt idx="556">
                  <c:v>157.89473684210526</c:v>
                </c:pt>
                <c:pt idx="557">
                  <c:v>157.89473684210526</c:v>
                </c:pt>
                <c:pt idx="558">
                  <c:v>157.89473684210526</c:v>
                </c:pt>
                <c:pt idx="559">
                  <c:v>157.89473684210526</c:v>
                </c:pt>
                <c:pt idx="560">
                  <c:v>157.89473684210526</c:v>
                </c:pt>
                <c:pt idx="561">
                  <c:v>157.89473684210526</c:v>
                </c:pt>
                <c:pt idx="562">
                  <c:v>157.89473684210526</c:v>
                </c:pt>
                <c:pt idx="563">
                  <c:v>157.89473684210526</c:v>
                </c:pt>
                <c:pt idx="564">
                  <c:v>157.89473684210526</c:v>
                </c:pt>
                <c:pt idx="565">
                  <c:v>157.89473684210526</c:v>
                </c:pt>
                <c:pt idx="566">
                  <c:v>157.89473684210526</c:v>
                </c:pt>
                <c:pt idx="567">
                  <c:v>157.89473684210526</c:v>
                </c:pt>
                <c:pt idx="568">
                  <c:v>157.89473684210526</c:v>
                </c:pt>
                <c:pt idx="569">
                  <c:v>157.89473684210526</c:v>
                </c:pt>
                <c:pt idx="570">
                  <c:v>157.89473684210526</c:v>
                </c:pt>
                <c:pt idx="571">
                  <c:v>157.89473684210526</c:v>
                </c:pt>
                <c:pt idx="572">
                  <c:v>157.89473684210526</c:v>
                </c:pt>
                <c:pt idx="573">
                  <c:v>157.89473684210526</c:v>
                </c:pt>
                <c:pt idx="574">
                  <c:v>157.89473684210526</c:v>
                </c:pt>
                <c:pt idx="575">
                  <c:v>157.89473684210526</c:v>
                </c:pt>
                <c:pt idx="576">
                  <c:v>157.89473684210526</c:v>
                </c:pt>
                <c:pt idx="577">
                  <c:v>157.89473684210526</c:v>
                </c:pt>
                <c:pt idx="578">
                  <c:v>157.89473684210526</c:v>
                </c:pt>
                <c:pt idx="579">
                  <c:v>157.89473684210526</c:v>
                </c:pt>
                <c:pt idx="580">
                  <c:v>166.66666666666666</c:v>
                </c:pt>
                <c:pt idx="581">
                  <c:v>166.66666666666666</c:v>
                </c:pt>
                <c:pt idx="582">
                  <c:v>166.66666666666666</c:v>
                </c:pt>
                <c:pt idx="583">
                  <c:v>166.66666666666666</c:v>
                </c:pt>
                <c:pt idx="584">
                  <c:v>166.66666666666666</c:v>
                </c:pt>
                <c:pt idx="585">
                  <c:v>166.66666666666666</c:v>
                </c:pt>
                <c:pt idx="586">
                  <c:v>166.66666666666666</c:v>
                </c:pt>
                <c:pt idx="587">
                  <c:v>166.66666666666666</c:v>
                </c:pt>
                <c:pt idx="588">
                  <c:v>166.66666666666666</c:v>
                </c:pt>
                <c:pt idx="589">
                  <c:v>166.66666666666666</c:v>
                </c:pt>
                <c:pt idx="590">
                  <c:v>166.66666666666666</c:v>
                </c:pt>
                <c:pt idx="591">
                  <c:v>166.66666666666666</c:v>
                </c:pt>
                <c:pt idx="592">
                  <c:v>166.66666666666666</c:v>
                </c:pt>
                <c:pt idx="593">
                  <c:v>166.66666666666666</c:v>
                </c:pt>
                <c:pt idx="594">
                  <c:v>166.66666666666666</c:v>
                </c:pt>
                <c:pt idx="595">
                  <c:v>166.66666666666666</c:v>
                </c:pt>
                <c:pt idx="596">
                  <c:v>166.66666666666666</c:v>
                </c:pt>
                <c:pt idx="597">
                  <c:v>166.66666666666666</c:v>
                </c:pt>
                <c:pt idx="598">
                  <c:v>166.66666666666666</c:v>
                </c:pt>
                <c:pt idx="599">
                  <c:v>166.66666666666666</c:v>
                </c:pt>
                <c:pt idx="600">
                  <c:v>166.66666666666666</c:v>
                </c:pt>
                <c:pt idx="601">
                  <c:v>166.66666666666666</c:v>
                </c:pt>
                <c:pt idx="602">
                  <c:v>166.66666666666666</c:v>
                </c:pt>
                <c:pt idx="603">
                  <c:v>166.66666666666666</c:v>
                </c:pt>
                <c:pt idx="604">
                  <c:v>166.66666666666666</c:v>
                </c:pt>
                <c:pt idx="605">
                  <c:v>166.66666666666666</c:v>
                </c:pt>
                <c:pt idx="606">
                  <c:v>166.66666666666666</c:v>
                </c:pt>
                <c:pt idx="607">
                  <c:v>166.66666666666666</c:v>
                </c:pt>
                <c:pt idx="608">
                  <c:v>166.66666666666666</c:v>
                </c:pt>
                <c:pt idx="609">
                  <c:v>166.66666666666666</c:v>
                </c:pt>
                <c:pt idx="610">
                  <c:v>166.66666666666666</c:v>
                </c:pt>
                <c:pt idx="611">
                  <c:v>166.66666666666666</c:v>
                </c:pt>
                <c:pt idx="612">
                  <c:v>166.66666666666666</c:v>
                </c:pt>
                <c:pt idx="613">
                  <c:v>166.66666666666666</c:v>
                </c:pt>
                <c:pt idx="614">
                  <c:v>166.66666666666666</c:v>
                </c:pt>
                <c:pt idx="615">
                  <c:v>166.66666666666666</c:v>
                </c:pt>
                <c:pt idx="616">
                  <c:v>166.66666666666666</c:v>
                </c:pt>
                <c:pt idx="617">
                  <c:v>166.66666666666666</c:v>
                </c:pt>
                <c:pt idx="618">
                  <c:v>166.66666666666666</c:v>
                </c:pt>
                <c:pt idx="619">
                  <c:v>166.66666666666666</c:v>
                </c:pt>
                <c:pt idx="620">
                  <c:v>166.66666666666666</c:v>
                </c:pt>
                <c:pt idx="621">
                  <c:v>166.66666666666666</c:v>
                </c:pt>
                <c:pt idx="622">
                  <c:v>166.66666666666666</c:v>
                </c:pt>
                <c:pt idx="623">
                  <c:v>166.66666666666666</c:v>
                </c:pt>
                <c:pt idx="624">
                  <c:v>166.66666666666666</c:v>
                </c:pt>
                <c:pt idx="625">
                  <c:v>166.66666666666666</c:v>
                </c:pt>
                <c:pt idx="626">
                  <c:v>166.66666666666666</c:v>
                </c:pt>
                <c:pt idx="627">
                  <c:v>166.66666666666666</c:v>
                </c:pt>
                <c:pt idx="628">
                  <c:v>166.66666666666666</c:v>
                </c:pt>
                <c:pt idx="629">
                  <c:v>166.66666666666666</c:v>
                </c:pt>
                <c:pt idx="630">
                  <c:v>166.66666666666666</c:v>
                </c:pt>
                <c:pt idx="631">
                  <c:v>166.66666666666666</c:v>
                </c:pt>
                <c:pt idx="632">
                  <c:v>166.66666666666666</c:v>
                </c:pt>
                <c:pt idx="633">
                  <c:v>166.66666666666666</c:v>
                </c:pt>
                <c:pt idx="634">
                  <c:v>166.66666666666666</c:v>
                </c:pt>
                <c:pt idx="635">
                  <c:v>166.66666666666666</c:v>
                </c:pt>
                <c:pt idx="636">
                  <c:v>166.66666666666666</c:v>
                </c:pt>
                <c:pt idx="637">
                  <c:v>166.66666666666666</c:v>
                </c:pt>
                <c:pt idx="638">
                  <c:v>166.66666666666666</c:v>
                </c:pt>
                <c:pt idx="639">
                  <c:v>166.66666666666666</c:v>
                </c:pt>
                <c:pt idx="640">
                  <c:v>166.66666666666666</c:v>
                </c:pt>
                <c:pt idx="641">
                  <c:v>166.66666666666666</c:v>
                </c:pt>
                <c:pt idx="642">
                  <c:v>166.66666666666666</c:v>
                </c:pt>
                <c:pt idx="643">
                  <c:v>166.66666666666666</c:v>
                </c:pt>
                <c:pt idx="644">
                  <c:v>166.66666666666666</c:v>
                </c:pt>
                <c:pt idx="645">
                  <c:v>166.66666666666666</c:v>
                </c:pt>
                <c:pt idx="646">
                  <c:v>166.66666666666666</c:v>
                </c:pt>
                <c:pt idx="647">
                  <c:v>166.66666666666666</c:v>
                </c:pt>
                <c:pt idx="648">
                  <c:v>166.66666666666666</c:v>
                </c:pt>
                <c:pt idx="649">
                  <c:v>166.66666666666666</c:v>
                </c:pt>
                <c:pt idx="650">
                  <c:v>166.66666666666666</c:v>
                </c:pt>
                <c:pt idx="651">
                  <c:v>166.66666666666666</c:v>
                </c:pt>
                <c:pt idx="652">
                  <c:v>166.66666666666666</c:v>
                </c:pt>
                <c:pt idx="653">
                  <c:v>166.66666666666666</c:v>
                </c:pt>
                <c:pt idx="654">
                  <c:v>166.66666666666666</c:v>
                </c:pt>
                <c:pt idx="655">
                  <c:v>166.66666666666666</c:v>
                </c:pt>
                <c:pt idx="656">
                  <c:v>166.66666666666666</c:v>
                </c:pt>
                <c:pt idx="657">
                  <c:v>166.66666666666666</c:v>
                </c:pt>
                <c:pt idx="658">
                  <c:v>166.66666666666666</c:v>
                </c:pt>
                <c:pt idx="659">
                  <c:v>166.66666666666666</c:v>
                </c:pt>
                <c:pt idx="660">
                  <c:v>166.66666666666666</c:v>
                </c:pt>
                <c:pt idx="661">
                  <c:v>166.66666666666666</c:v>
                </c:pt>
                <c:pt idx="662">
                  <c:v>166.66666666666666</c:v>
                </c:pt>
                <c:pt idx="663">
                  <c:v>166.66666666666666</c:v>
                </c:pt>
                <c:pt idx="664">
                  <c:v>166.66666666666666</c:v>
                </c:pt>
                <c:pt idx="665">
                  <c:v>166.66666666666666</c:v>
                </c:pt>
                <c:pt idx="666">
                  <c:v>166.66666666666666</c:v>
                </c:pt>
                <c:pt idx="667">
                  <c:v>166.66666666666666</c:v>
                </c:pt>
                <c:pt idx="668">
                  <c:v>166.66666666666666</c:v>
                </c:pt>
                <c:pt idx="669">
                  <c:v>166.66666666666666</c:v>
                </c:pt>
                <c:pt idx="670">
                  <c:v>166.66666666666666</c:v>
                </c:pt>
                <c:pt idx="671">
                  <c:v>166.66666666666666</c:v>
                </c:pt>
                <c:pt idx="672">
                  <c:v>166.66666666666666</c:v>
                </c:pt>
                <c:pt idx="673">
                  <c:v>166.66666666666666</c:v>
                </c:pt>
                <c:pt idx="674">
                  <c:v>166.66666666666666</c:v>
                </c:pt>
                <c:pt idx="675">
                  <c:v>166.66666666666666</c:v>
                </c:pt>
                <c:pt idx="676">
                  <c:v>166.66666666666666</c:v>
                </c:pt>
                <c:pt idx="677">
                  <c:v>166.66666666666666</c:v>
                </c:pt>
                <c:pt idx="678">
                  <c:v>166.66666666666666</c:v>
                </c:pt>
                <c:pt idx="679">
                  <c:v>166.66666666666666</c:v>
                </c:pt>
                <c:pt idx="680">
                  <c:v>166.66666666666666</c:v>
                </c:pt>
                <c:pt idx="681">
                  <c:v>166.66666666666666</c:v>
                </c:pt>
                <c:pt idx="682">
                  <c:v>166.66666666666666</c:v>
                </c:pt>
                <c:pt idx="683">
                  <c:v>166.66666666666666</c:v>
                </c:pt>
                <c:pt idx="684">
                  <c:v>166.66666666666666</c:v>
                </c:pt>
                <c:pt idx="685">
                  <c:v>166.66666666666666</c:v>
                </c:pt>
                <c:pt idx="686">
                  <c:v>166.66666666666666</c:v>
                </c:pt>
                <c:pt idx="687">
                  <c:v>166.66666666666666</c:v>
                </c:pt>
                <c:pt idx="688">
                  <c:v>166.66666666666666</c:v>
                </c:pt>
                <c:pt idx="689">
                  <c:v>166.66666666666666</c:v>
                </c:pt>
                <c:pt idx="690">
                  <c:v>166.66666666666666</c:v>
                </c:pt>
                <c:pt idx="691">
                  <c:v>166.66666666666666</c:v>
                </c:pt>
                <c:pt idx="692">
                  <c:v>166.66666666666666</c:v>
                </c:pt>
                <c:pt idx="693">
                  <c:v>166.66666666666666</c:v>
                </c:pt>
                <c:pt idx="694">
                  <c:v>166.66666666666666</c:v>
                </c:pt>
                <c:pt idx="695">
                  <c:v>166.66666666666666</c:v>
                </c:pt>
                <c:pt idx="696">
                  <c:v>166.66666666666666</c:v>
                </c:pt>
                <c:pt idx="697">
                  <c:v>166.66666666666666</c:v>
                </c:pt>
                <c:pt idx="698">
                  <c:v>166.66666666666666</c:v>
                </c:pt>
                <c:pt idx="699">
                  <c:v>166.66666666666666</c:v>
                </c:pt>
                <c:pt idx="700">
                  <c:v>166.66666666666666</c:v>
                </c:pt>
                <c:pt idx="701">
                  <c:v>166.66666666666666</c:v>
                </c:pt>
                <c:pt idx="702">
                  <c:v>166.66666666666666</c:v>
                </c:pt>
                <c:pt idx="703">
                  <c:v>166.66666666666666</c:v>
                </c:pt>
                <c:pt idx="704">
                  <c:v>166.66666666666666</c:v>
                </c:pt>
                <c:pt idx="705">
                  <c:v>166.66666666666666</c:v>
                </c:pt>
                <c:pt idx="706">
                  <c:v>166.66666666666666</c:v>
                </c:pt>
                <c:pt idx="707">
                  <c:v>166.66666666666666</c:v>
                </c:pt>
                <c:pt idx="708">
                  <c:v>166.66666666666666</c:v>
                </c:pt>
                <c:pt idx="709">
                  <c:v>166.66666666666666</c:v>
                </c:pt>
                <c:pt idx="710">
                  <c:v>166.66666666666666</c:v>
                </c:pt>
                <c:pt idx="711">
                  <c:v>176.47058823529412</c:v>
                </c:pt>
                <c:pt idx="712">
                  <c:v>176.47058823529412</c:v>
                </c:pt>
                <c:pt idx="713">
                  <c:v>176.47058823529412</c:v>
                </c:pt>
                <c:pt idx="714">
                  <c:v>176.47058823529412</c:v>
                </c:pt>
                <c:pt idx="715">
                  <c:v>176.47058823529412</c:v>
                </c:pt>
                <c:pt idx="716">
                  <c:v>176.47058823529412</c:v>
                </c:pt>
                <c:pt idx="717">
                  <c:v>176.47058823529412</c:v>
                </c:pt>
                <c:pt idx="718">
                  <c:v>176.47058823529412</c:v>
                </c:pt>
                <c:pt idx="719">
                  <c:v>176.47058823529412</c:v>
                </c:pt>
                <c:pt idx="720">
                  <c:v>176.47058823529412</c:v>
                </c:pt>
                <c:pt idx="721">
                  <c:v>176.47058823529412</c:v>
                </c:pt>
                <c:pt idx="722">
                  <c:v>176.47058823529412</c:v>
                </c:pt>
                <c:pt idx="723">
                  <c:v>176.47058823529412</c:v>
                </c:pt>
                <c:pt idx="724">
                  <c:v>176.47058823529412</c:v>
                </c:pt>
                <c:pt idx="725">
                  <c:v>176.47058823529412</c:v>
                </c:pt>
                <c:pt idx="726">
                  <c:v>176.47058823529412</c:v>
                </c:pt>
                <c:pt idx="727">
                  <c:v>176.47058823529412</c:v>
                </c:pt>
                <c:pt idx="728">
                  <c:v>176.47058823529412</c:v>
                </c:pt>
                <c:pt idx="729">
                  <c:v>176.47058823529412</c:v>
                </c:pt>
                <c:pt idx="730">
                  <c:v>176.47058823529412</c:v>
                </c:pt>
                <c:pt idx="731">
                  <c:v>176.47058823529412</c:v>
                </c:pt>
                <c:pt idx="732">
                  <c:v>176.47058823529412</c:v>
                </c:pt>
                <c:pt idx="733">
                  <c:v>176.47058823529412</c:v>
                </c:pt>
                <c:pt idx="734">
                  <c:v>176.47058823529412</c:v>
                </c:pt>
                <c:pt idx="735">
                  <c:v>176.47058823529412</c:v>
                </c:pt>
                <c:pt idx="736">
                  <c:v>176.47058823529412</c:v>
                </c:pt>
                <c:pt idx="737">
                  <c:v>176.47058823529412</c:v>
                </c:pt>
                <c:pt idx="738">
                  <c:v>176.47058823529412</c:v>
                </c:pt>
                <c:pt idx="739">
                  <c:v>176.47058823529412</c:v>
                </c:pt>
                <c:pt idx="740">
                  <c:v>176.47058823529412</c:v>
                </c:pt>
                <c:pt idx="741">
                  <c:v>176.47058823529412</c:v>
                </c:pt>
                <c:pt idx="742">
                  <c:v>176.47058823529412</c:v>
                </c:pt>
                <c:pt idx="743">
                  <c:v>176.47058823529412</c:v>
                </c:pt>
                <c:pt idx="744">
                  <c:v>176.47058823529412</c:v>
                </c:pt>
                <c:pt idx="745">
                  <c:v>176.47058823529412</c:v>
                </c:pt>
                <c:pt idx="746">
                  <c:v>176.47058823529412</c:v>
                </c:pt>
                <c:pt idx="747">
                  <c:v>176.47058823529412</c:v>
                </c:pt>
                <c:pt idx="748">
                  <c:v>176.47058823529412</c:v>
                </c:pt>
                <c:pt idx="749">
                  <c:v>176.47058823529412</c:v>
                </c:pt>
                <c:pt idx="750">
                  <c:v>176.47058823529412</c:v>
                </c:pt>
                <c:pt idx="751">
                  <c:v>176.47058823529412</c:v>
                </c:pt>
                <c:pt idx="752">
                  <c:v>176.47058823529412</c:v>
                </c:pt>
                <c:pt idx="753">
                  <c:v>176.47058823529412</c:v>
                </c:pt>
                <c:pt idx="754">
                  <c:v>176.47058823529412</c:v>
                </c:pt>
                <c:pt idx="755">
                  <c:v>176.47058823529412</c:v>
                </c:pt>
                <c:pt idx="756">
                  <c:v>176.47058823529412</c:v>
                </c:pt>
                <c:pt idx="757">
                  <c:v>176.47058823529412</c:v>
                </c:pt>
                <c:pt idx="758">
                  <c:v>176.47058823529412</c:v>
                </c:pt>
                <c:pt idx="759">
                  <c:v>176.47058823529412</c:v>
                </c:pt>
                <c:pt idx="760">
                  <c:v>176.47058823529412</c:v>
                </c:pt>
                <c:pt idx="761">
                  <c:v>176.47058823529412</c:v>
                </c:pt>
                <c:pt idx="762">
                  <c:v>176.47058823529412</c:v>
                </c:pt>
                <c:pt idx="763">
                  <c:v>176.47058823529412</c:v>
                </c:pt>
                <c:pt idx="764">
                  <c:v>176.47058823529412</c:v>
                </c:pt>
                <c:pt idx="765">
                  <c:v>176.47058823529412</c:v>
                </c:pt>
                <c:pt idx="766">
                  <c:v>176.47058823529412</c:v>
                </c:pt>
                <c:pt idx="767">
                  <c:v>176.47058823529412</c:v>
                </c:pt>
                <c:pt idx="768">
                  <c:v>176.47058823529412</c:v>
                </c:pt>
                <c:pt idx="769">
                  <c:v>176.47058823529412</c:v>
                </c:pt>
                <c:pt idx="770">
                  <c:v>176.47058823529412</c:v>
                </c:pt>
                <c:pt idx="771">
                  <c:v>176.47058823529412</c:v>
                </c:pt>
                <c:pt idx="772">
                  <c:v>176.47058823529412</c:v>
                </c:pt>
                <c:pt idx="773">
                  <c:v>176.47058823529412</c:v>
                </c:pt>
                <c:pt idx="774">
                  <c:v>176.47058823529412</c:v>
                </c:pt>
                <c:pt idx="775">
                  <c:v>176.47058823529412</c:v>
                </c:pt>
                <c:pt idx="776">
                  <c:v>176.47058823529412</c:v>
                </c:pt>
                <c:pt idx="777">
                  <c:v>176.47058823529412</c:v>
                </c:pt>
                <c:pt idx="778">
                  <c:v>176.47058823529412</c:v>
                </c:pt>
                <c:pt idx="779">
                  <c:v>176.47058823529412</c:v>
                </c:pt>
                <c:pt idx="780">
                  <c:v>176.47058823529412</c:v>
                </c:pt>
                <c:pt idx="781">
                  <c:v>176.47058823529412</c:v>
                </c:pt>
                <c:pt idx="782">
                  <c:v>176.47058823529412</c:v>
                </c:pt>
                <c:pt idx="783">
                  <c:v>176.47058823529412</c:v>
                </c:pt>
                <c:pt idx="784">
                  <c:v>176.47058823529412</c:v>
                </c:pt>
                <c:pt idx="785">
                  <c:v>176.47058823529412</c:v>
                </c:pt>
                <c:pt idx="786">
                  <c:v>176.47058823529412</c:v>
                </c:pt>
                <c:pt idx="787">
                  <c:v>176.47058823529412</c:v>
                </c:pt>
                <c:pt idx="788">
                  <c:v>176.47058823529412</c:v>
                </c:pt>
                <c:pt idx="789">
                  <c:v>176.47058823529412</c:v>
                </c:pt>
                <c:pt idx="790">
                  <c:v>176.47058823529412</c:v>
                </c:pt>
                <c:pt idx="791">
                  <c:v>176.47058823529412</c:v>
                </c:pt>
                <c:pt idx="792">
                  <c:v>176.47058823529412</c:v>
                </c:pt>
                <c:pt idx="793">
                  <c:v>176.47058823529412</c:v>
                </c:pt>
                <c:pt idx="794">
                  <c:v>176.47058823529412</c:v>
                </c:pt>
                <c:pt idx="795">
                  <c:v>176.47058823529412</c:v>
                </c:pt>
                <c:pt idx="796">
                  <c:v>176.47058823529412</c:v>
                </c:pt>
                <c:pt idx="797">
                  <c:v>176.47058823529412</c:v>
                </c:pt>
                <c:pt idx="798">
                  <c:v>176.47058823529412</c:v>
                </c:pt>
                <c:pt idx="799">
                  <c:v>176.47058823529412</c:v>
                </c:pt>
                <c:pt idx="800">
                  <c:v>176.47058823529412</c:v>
                </c:pt>
                <c:pt idx="801">
                  <c:v>176.47058823529412</c:v>
                </c:pt>
                <c:pt idx="802">
                  <c:v>176.47058823529412</c:v>
                </c:pt>
                <c:pt idx="803">
                  <c:v>176.47058823529412</c:v>
                </c:pt>
                <c:pt idx="804">
                  <c:v>176.47058823529412</c:v>
                </c:pt>
                <c:pt idx="805">
                  <c:v>176.47058823529412</c:v>
                </c:pt>
                <c:pt idx="806">
                  <c:v>176.47058823529412</c:v>
                </c:pt>
                <c:pt idx="807">
                  <c:v>176.47058823529412</c:v>
                </c:pt>
                <c:pt idx="808">
                  <c:v>176.47058823529412</c:v>
                </c:pt>
                <c:pt idx="809">
                  <c:v>176.47058823529412</c:v>
                </c:pt>
                <c:pt idx="810">
                  <c:v>176.47058823529412</c:v>
                </c:pt>
                <c:pt idx="811">
                  <c:v>176.47058823529412</c:v>
                </c:pt>
                <c:pt idx="812">
                  <c:v>176.47058823529412</c:v>
                </c:pt>
                <c:pt idx="813">
                  <c:v>176.47058823529412</c:v>
                </c:pt>
                <c:pt idx="814">
                  <c:v>176.47058823529412</c:v>
                </c:pt>
                <c:pt idx="815">
                  <c:v>176.47058823529412</c:v>
                </c:pt>
                <c:pt idx="816">
                  <c:v>176.47058823529412</c:v>
                </c:pt>
                <c:pt idx="817">
                  <c:v>176.47058823529412</c:v>
                </c:pt>
                <c:pt idx="818">
                  <c:v>176.47058823529412</c:v>
                </c:pt>
                <c:pt idx="819">
                  <c:v>176.47058823529412</c:v>
                </c:pt>
                <c:pt idx="820">
                  <c:v>176.47058823529412</c:v>
                </c:pt>
                <c:pt idx="821">
                  <c:v>176.47058823529412</c:v>
                </c:pt>
                <c:pt idx="822">
                  <c:v>176.47058823529412</c:v>
                </c:pt>
                <c:pt idx="823">
                  <c:v>176.47058823529412</c:v>
                </c:pt>
                <c:pt idx="824">
                  <c:v>176.47058823529412</c:v>
                </c:pt>
                <c:pt idx="825">
                  <c:v>176.47058823529412</c:v>
                </c:pt>
                <c:pt idx="826">
                  <c:v>176.47058823529412</c:v>
                </c:pt>
                <c:pt idx="827">
                  <c:v>176.47058823529412</c:v>
                </c:pt>
                <c:pt idx="828">
                  <c:v>176.47058823529412</c:v>
                </c:pt>
                <c:pt idx="829">
                  <c:v>176.47058823529412</c:v>
                </c:pt>
                <c:pt idx="830">
                  <c:v>176.47058823529412</c:v>
                </c:pt>
                <c:pt idx="831">
                  <c:v>176.47058823529412</c:v>
                </c:pt>
                <c:pt idx="832">
                  <c:v>176.47058823529412</c:v>
                </c:pt>
                <c:pt idx="833">
                  <c:v>176.47058823529412</c:v>
                </c:pt>
                <c:pt idx="834">
                  <c:v>176.47058823529412</c:v>
                </c:pt>
                <c:pt idx="835">
                  <c:v>176.47058823529412</c:v>
                </c:pt>
                <c:pt idx="836">
                  <c:v>176.47058823529412</c:v>
                </c:pt>
                <c:pt idx="837">
                  <c:v>176.47058823529412</c:v>
                </c:pt>
                <c:pt idx="838">
                  <c:v>176.47058823529412</c:v>
                </c:pt>
                <c:pt idx="839">
                  <c:v>176.47058823529412</c:v>
                </c:pt>
                <c:pt idx="840">
                  <c:v>176.47058823529412</c:v>
                </c:pt>
                <c:pt idx="841">
                  <c:v>176.47058823529412</c:v>
                </c:pt>
                <c:pt idx="842">
                  <c:v>176.47058823529412</c:v>
                </c:pt>
                <c:pt idx="843">
                  <c:v>176.47058823529412</c:v>
                </c:pt>
                <c:pt idx="844">
                  <c:v>176.47058823529412</c:v>
                </c:pt>
                <c:pt idx="845">
                  <c:v>176.47058823529412</c:v>
                </c:pt>
                <c:pt idx="846">
                  <c:v>176.47058823529412</c:v>
                </c:pt>
                <c:pt idx="847">
                  <c:v>176.47058823529412</c:v>
                </c:pt>
                <c:pt idx="848">
                  <c:v>176.47058823529412</c:v>
                </c:pt>
                <c:pt idx="849">
                  <c:v>176.47058823529412</c:v>
                </c:pt>
                <c:pt idx="850">
                  <c:v>176.47058823529412</c:v>
                </c:pt>
                <c:pt idx="851">
                  <c:v>176.47058823529412</c:v>
                </c:pt>
                <c:pt idx="852">
                  <c:v>176.47058823529412</c:v>
                </c:pt>
                <c:pt idx="853">
                  <c:v>176.47058823529412</c:v>
                </c:pt>
                <c:pt idx="854">
                  <c:v>176.47058823529412</c:v>
                </c:pt>
                <c:pt idx="855">
                  <c:v>176.47058823529412</c:v>
                </c:pt>
                <c:pt idx="856">
                  <c:v>176.47058823529412</c:v>
                </c:pt>
                <c:pt idx="857">
                  <c:v>176.47058823529412</c:v>
                </c:pt>
                <c:pt idx="858">
                  <c:v>176.47058823529412</c:v>
                </c:pt>
                <c:pt idx="859">
                  <c:v>176.47058823529412</c:v>
                </c:pt>
                <c:pt idx="860">
                  <c:v>176.47058823529412</c:v>
                </c:pt>
                <c:pt idx="861">
                  <c:v>176.47058823529412</c:v>
                </c:pt>
                <c:pt idx="862">
                  <c:v>176.47058823529412</c:v>
                </c:pt>
                <c:pt idx="863">
                  <c:v>176.47058823529412</c:v>
                </c:pt>
                <c:pt idx="864">
                  <c:v>176.47058823529412</c:v>
                </c:pt>
                <c:pt idx="865">
                  <c:v>176.47058823529412</c:v>
                </c:pt>
                <c:pt idx="866">
                  <c:v>176.47058823529412</c:v>
                </c:pt>
                <c:pt idx="867">
                  <c:v>176.47058823529412</c:v>
                </c:pt>
                <c:pt idx="868">
                  <c:v>176.47058823529412</c:v>
                </c:pt>
                <c:pt idx="869">
                  <c:v>176.47058823529412</c:v>
                </c:pt>
                <c:pt idx="870">
                  <c:v>176.47058823529412</c:v>
                </c:pt>
                <c:pt idx="871">
                  <c:v>176.47058823529412</c:v>
                </c:pt>
                <c:pt idx="872">
                  <c:v>176.47058823529412</c:v>
                </c:pt>
                <c:pt idx="873">
                  <c:v>176.47058823529412</c:v>
                </c:pt>
                <c:pt idx="874">
                  <c:v>176.47058823529412</c:v>
                </c:pt>
                <c:pt idx="875">
                  <c:v>176.47058823529412</c:v>
                </c:pt>
                <c:pt idx="876">
                  <c:v>176.47058823529412</c:v>
                </c:pt>
                <c:pt idx="877">
                  <c:v>176.47058823529412</c:v>
                </c:pt>
                <c:pt idx="878">
                  <c:v>176.47058823529412</c:v>
                </c:pt>
                <c:pt idx="879">
                  <c:v>176.47058823529412</c:v>
                </c:pt>
                <c:pt idx="880">
                  <c:v>176.47058823529412</c:v>
                </c:pt>
                <c:pt idx="881">
                  <c:v>176.47058823529412</c:v>
                </c:pt>
                <c:pt idx="882">
                  <c:v>176.47058823529412</c:v>
                </c:pt>
                <c:pt idx="883">
                  <c:v>176.47058823529412</c:v>
                </c:pt>
                <c:pt idx="884">
                  <c:v>176.47058823529412</c:v>
                </c:pt>
                <c:pt idx="885">
                  <c:v>176.47058823529412</c:v>
                </c:pt>
                <c:pt idx="886">
                  <c:v>176.47058823529412</c:v>
                </c:pt>
                <c:pt idx="887">
                  <c:v>176.47058823529412</c:v>
                </c:pt>
                <c:pt idx="888">
                  <c:v>176.47058823529412</c:v>
                </c:pt>
                <c:pt idx="889">
                  <c:v>176.47058823529412</c:v>
                </c:pt>
                <c:pt idx="890">
                  <c:v>176.47058823529412</c:v>
                </c:pt>
                <c:pt idx="891">
                  <c:v>176.47058823529412</c:v>
                </c:pt>
                <c:pt idx="892">
                  <c:v>176.47058823529412</c:v>
                </c:pt>
                <c:pt idx="893">
                  <c:v>176.47058823529412</c:v>
                </c:pt>
                <c:pt idx="894">
                  <c:v>176.47058823529412</c:v>
                </c:pt>
                <c:pt idx="895">
                  <c:v>176.47058823529412</c:v>
                </c:pt>
                <c:pt idx="896">
                  <c:v>176.47058823529412</c:v>
                </c:pt>
                <c:pt idx="897">
                  <c:v>176.47058823529412</c:v>
                </c:pt>
                <c:pt idx="898">
                  <c:v>176.47058823529412</c:v>
                </c:pt>
                <c:pt idx="899">
                  <c:v>176.47058823529412</c:v>
                </c:pt>
                <c:pt idx="900">
                  <c:v>176.47058823529412</c:v>
                </c:pt>
                <c:pt idx="901">
                  <c:v>176.47058823529412</c:v>
                </c:pt>
                <c:pt idx="902">
                  <c:v>176.47058823529412</c:v>
                </c:pt>
                <c:pt idx="903">
                  <c:v>176.47058823529412</c:v>
                </c:pt>
                <c:pt idx="904">
                  <c:v>176.47058823529412</c:v>
                </c:pt>
                <c:pt idx="905">
                  <c:v>176.47058823529412</c:v>
                </c:pt>
                <c:pt idx="906">
                  <c:v>176.47058823529412</c:v>
                </c:pt>
                <c:pt idx="907">
                  <c:v>176.47058823529412</c:v>
                </c:pt>
                <c:pt idx="908">
                  <c:v>176.47058823529412</c:v>
                </c:pt>
                <c:pt idx="909">
                  <c:v>176.47058823529412</c:v>
                </c:pt>
                <c:pt idx="910">
                  <c:v>176.47058823529412</c:v>
                </c:pt>
                <c:pt idx="911">
                  <c:v>176.47058823529412</c:v>
                </c:pt>
                <c:pt idx="912">
                  <c:v>176.47058823529412</c:v>
                </c:pt>
                <c:pt idx="913">
                  <c:v>176.47058823529412</c:v>
                </c:pt>
                <c:pt idx="914">
                  <c:v>176.47058823529412</c:v>
                </c:pt>
                <c:pt idx="915">
                  <c:v>176.47058823529412</c:v>
                </c:pt>
                <c:pt idx="916">
                  <c:v>176.47058823529412</c:v>
                </c:pt>
                <c:pt idx="917">
                  <c:v>176.47058823529412</c:v>
                </c:pt>
                <c:pt idx="918">
                  <c:v>176.47058823529412</c:v>
                </c:pt>
                <c:pt idx="919">
                  <c:v>176.47058823529412</c:v>
                </c:pt>
                <c:pt idx="920">
                  <c:v>176.47058823529412</c:v>
                </c:pt>
                <c:pt idx="921">
                  <c:v>176.47058823529412</c:v>
                </c:pt>
                <c:pt idx="922">
                  <c:v>176.47058823529412</c:v>
                </c:pt>
                <c:pt idx="923">
                  <c:v>176.47058823529412</c:v>
                </c:pt>
                <c:pt idx="924">
                  <c:v>176.47058823529412</c:v>
                </c:pt>
                <c:pt idx="925">
                  <c:v>176.47058823529412</c:v>
                </c:pt>
                <c:pt idx="926">
                  <c:v>176.47058823529412</c:v>
                </c:pt>
                <c:pt idx="927">
                  <c:v>176.47058823529412</c:v>
                </c:pt>
                <c:pt idx="928">
                  <c:v>176.47058823529412</c:v>
                </c:pt>
                <c:pt idx="929">
                  <c:v>176.47058823529412</c:v>
                </c:pt>
                <c:pt idx="930">
                  <c:v>176.47058823529412</c:v>
                </c:pt>
                <c:pt idx="931">
                  <c:v>176.47058823529412</c:v>
                </c:pt>
                <c:pt idx="932">
                  <c:v>176.47058823529412</c:v>
                </c:pt>
                <c:pt idx="933">
                  <c:v>176.47058823529412</c:v>
                </c:pt>
                <c:pt idx="934">
                  <c:v>176.47058823529412</c:v>
                </c:pt>
                <c:pt idx="935">
                  <c:v>176.47058823529412</c:v>
                </c:pt>
                <c:pt idx="936">
                  <c:v>176.47058823529412</c:v>
                </c:pt>
                <c:pt idx="937">
                  <c:v>176.47058823529412</c:v>
                </c:pt>
                <c:pt idx="938">
                  <c:v>176.47058823529412</c:v>
                </c:pt>
                <c:pt idx="939">
                  <c:v>176.47058823529412</c:v>
                </c:pt>
                <c:pt idx="940">
                  <c:v>176.47058823529412</c:v>
                </c:pt>
                <c:pt idx="941">
                  <c:v>176.47058823529412</c:v>
                </c:pt>
                <c:pt idx="942">
                  <c:v>176.47058823529412</c:v>
                </c:pt>
                <c:pt idx="943">
                  <c:v>176.47058823529412</c:v>
                </c:pt>
                <c:pt idx="944">
                  <c:v>176.47058823529412</c:v>
                </c:pt>
                <c:pt idx="945">
                  <c:v>176.47058823529412</c:v>
                </c:pt>
                <c:pt idx="946">
                  <c:v>176.47058823529412</c:v>
                </c:pt>
                <c:pt idx="947">
                  <c:v>176.47058823529412</c:v>
                </c:pt>
                <c:pt idx="948">
                  <c:v>176.47058823529412</c:v>
                </c:pt>
                <c:pt idx="949">
                  <c:v>176.47058823529412</c:v>
                </c:pt>
                <c:pt idx="950">
                  <c:v>176.47058823529412</c:v>
                </c:pt>
                <c:pt idx="951">
                  <c:v>176.47058823529412</c:v>
                </c:pt>
                <c:pt idx="952">
                  <c:v>176.47058823529412</c:v>
                </c:pt>
                <c:pt idx="953">
                  <c:v>176.47058823529412</c:v>
                </c:pt>
                <c:pt idx="954">
                  <c:v>176.47058823529412</c:v>
                </c:pt>
                <c:pt idx="955">
                  <c:v>176.47058823529412</c:v>
                </c:pt>
                <c:pt idx="956">
                  <c:v>176.47058823529412</c:v>
                </c:pt>
                <c:pt idx="957">
                  <c:v>176.47058823529412</c:v>
                </c:pt>
                <c:pt idx="958">
                  <c:v>176.47058823529412</c:v>
                </c:pt>
                <c:pt idx="959">
                  <c:v>176.47058823529412</c:v>
                </c:pt>
                <c:pt idx="960">
                  <c:v>176.47058823529412</c:v>
                </c:pt>
                <c:pt idx="961">
                  <c:v>176.47058823529412</c:v>
                </c:pt>
                <c:pt idx="962">
                  <c:v>176.47058823529412</c:v>
                </c:pt>
                <c:pt idx="963">
                  <c:v>176.47058823529412</c:v>
                </c:pt>
                <c:pt idx="964">
                  <c:v>176.47058823529412</c:v>
                </c:pt>
                <c:pt idx="965">
                  <c:v>176.47058823529412</c:v>
                </c:pt>
                <c:pt idx="966">
                  <c:v>176.47058823529412</c:v>
                </c:pt>
                <c:pt idx="967">
                  <c:v>176.47058823529412</c:v>
                </c:pt>
                <c:pt idx="968">
                  <c:v>176.47058823529412</c:v>
                </c:pt>
                <c:pt idx="969">
                  <c:v>176.47058823529412</c:v>
                </c:pt>
                <c:pt idx="970">
                  <c:v>176.47058823529412</c:v>
                </c:pt>
                <c:pt idx="971">
                  <c:v>176.47058823529412</c:v>
                </c:pt>
                <c:pt idx="972">
                  <c:v>176.47058823529412</c:v>
                </c:pt>
                <c:pt idx="973">
                  <c:v>176.47058823529412</c:v>
                </c:pt>
                <c:pt idx="974">
                  <c:v>176.47058823529412</c:v>
                </c:pt>
                <c:pt idx="975">
                  <c:v>176.47058823529412</c:v>
                </c:pt>
                <c:pt idx="976">
                  <c:v>176.47058823529412</c:v>
                </c:pt>
                <c:pt idx="977">
                  <c:v>176.47058823529412</c:v>
                </c:pt>
                <c:pt idx="978">
                  <c:v>176.47058823529412</c:v>
                </c:pt>
                <c:pt idx="979">
                  <c:v>176.47058823529412</c:v>
                </c:pt>
                <c:pt idx="980">
                  <c:v>176.47058823529412</c:v>
                </c:pt>
                <c:pt idx="981">
                  <c:v>176.47058823529412</c:v>
                </c:pt>
                <c:pt idx="982">
                  <c:v>176.47058823529412</c:v>
                </c:pt>
                <c:pt idx="983">
                  <c:v>176.47058823529412</c:v>
                </c:pt>
                <c:pt idx="984">
                  <c:v>176.47058823529412</c:v>
                </c:pt>
                <c:pt idx="985">
                  <c:v>176.47058823529412</c:v>
                </c:pt>
                <c:pt idx="986">
                  <c:v>176.47058823529412</c:v>
                </c:pt>
                <c:pt idx="987">
                  <c:v>176.47058823529412</c:v>
                </c:pt>
                <c:pt idx="988">
                  <c:v>187.5</c:v>
                </c:pt>
                <c:pt idx="989">
                  <c:v>187.5</c:v>
                </c:pt>
                <c:pt idx="990">
                  <c:v>187.5</c:v>
                </c:pt>
                <c:pt idx="991">
                  <c:v>187.5</c:v>
                </c:pt>
                <c:pt idx="992">
                  <c:v>187.5</c:v>
                </c:pt>
                <c:pt idx="993">
                  <c:v>187.5</c:v>
                </c:pt>
                <c:pt idx="994">
                  <c:v>187.5</c:v>
                </c:pt>
                <c:pt idx="995">
                  <c:v>187.5</c:v>
                </c:pt>
                <c:pt idx="996">
                  <c:v>187.5</c:v>
                </c:pt>
                <c:pt idx="997">
                  <c:v>187.5</c:v>
                </c:pt>
                <c:pt idx="998">
                  <c:v>187.5</c:v>
                </c:pt>
                <c:pt idx="999">
                  <c:v>187.5</c:v>
                </c:pt>
              </c:numCache>
            </c:numRef>
          </c:xVal>
          <c:yVal>
            <c:numRef>
              <c:f>Sheet1!$C$2:$C$1006</c:f>
              <c:numCache>
                <c:formatCode>General</c:formatCode>
                <c:ptCount val="100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  <c:pt idx="100">
                  <c:v>101000</c:v>
                </c:pt>
                <c:pt idx="101">
                  <c:v>102000</c:v>
                </c:pt>
                <c:pt idx="102">
                  <c:v>103000</c:v>
                </c:pt>
                <c:pt idx="103">
                  <c:v>104000</c:v>
                </c:pt>
                <c:pt idx="104">
                  <c:v>105000</c:v>
                </c:pt>
                <c:pt idx="105">
                  <c:v>106000</c:v>
                </c:pt>
                <c:pt idx="106">
                  <c:v>107000</c:v>
                </c:pt>
                <c:pt idx="107">
                  <c:v>108000</c:v>
                </c:pt>
                <c:pt idx="108">
                  <c:v>109000</c:v>
                </c:pt>
                <c:pt idx="109">
                  <c:v>110000</c:v>
                </c:pt>
                <c:pt idx="110">
                  <c:v>111000</c:v>
                </c:pt>
                <c:pt idx="111">
                  <c:v>112000</c:v>
                </c:pt>
                <c:pt idx="112">
                  <c:v>113000</c:v>
                </c:pt>
                <c:pt idx="113">
                  <c:v>114000</c:v>
                </c:pt>
                <c:pt idx="114">
                  <c:v>115000</c:v>
                </c:pt>
                <c:pt idx="115">
                  <c:v>116000</c:v>
                </c:pt>
                <c:pt idx="116">
                  <c:v>117000</c:v>
                </c:pt>
                <c:pt idx="117">
                  <c:v>118000</c:v>
                </c:pt>
                <c:pt idx="118">
                  <c:v>119000</c:v>
                </c:pt>
                <c:pt idx="119">
                  <c:v>120000</c:v>
                </c:pt>
                <c:pt idx="120">
                  <c:v>121000</c:v>
                </c:pt>
                <c:pt idx="121">
                  <c:v>122000</c:v>
                </c:pt>
                <c:pt idx="122">
                  <c:v>123000</c:v>
                </c:pt>
                <c:pt idx="123">
                  <c:v>124000</c:v>
                </c:pt>
                <c:pt idx="124">
                  <c:v>125000</c:v>
                </c:pt>
                <c:pt idx="125">
                  <c:v>126000</c:v>
                </c:pt>
                <c:pt idx="126">
                  <c:v>127000</c:v>
                </c:pt>
                <c:pt idx="127">
                  <c:v>128000</c:v>
                </c:pt>
                <c:pt idx="128">
                  <c:v>129000</c:v>
                </c:pt>
                <c:pt idx="129">
                  <c:v>130000</c:v>
                </c:pt>
                <c:pt idx="130">
                  <c:v>131000</c:v>
                </c:pt>
                <c:pt idx="131">
                  <c:v>132000</c:v>
                </c:pt>
                <c:pt idx="132">
                  <c:v>133000</c:v>
                </c:pt>
                <c:pt idx="133">
                  <c:v>134000</c:v>
                </c:pt>
                <c:pt idx="134">
                  <c:v>135000</c:v>
                </c:pt>
                <c:pt idx="135">
                  <c:v>136000</c:v>
                </c:pt>
                <c:pt idx="136">
                  <c:v>137000</c:v>
                </c:pt>
                <c:pt idx="137">
                  <c:v>138000</c:v>
                </c:pt>
                <c:pt idx="138">
                  <c:v>139000</c:v>
                </c:pt>
                <c:pt idx="139">
                  <c:v>140000</c:v>
                </c:pt>
                <c:pt idx="140">
                  <c:v>141000</c:v>
                </c:pt>
                <c:pt idx="141">
                  <c:v>142000</c:v>
                </c:pt>
                <c:pt idx="142">
                  <c:v>143000</c:v>
                </c:pt>
                <c:pt idx="143">
                  <c:v>144000</c:v>
                </c:pt>
                <c:pt idx="144">
                  <c:v>145000</c:v>
                </c:pt>
                <c:pt idx="145">
                  <c:v>146000</c:v>
                </c:pt>
                <c:pt idx="146">
                  <c:v>147000</c:v>
                </c:pt>
                <c:pt idx="147">
                  <c:v>148000</c:v>
                </c:pt>
                <c:pt idx="148">
                  <c:v>149000</c:v>
                </c:pt>
                <c:pt idx="149">
                  <c:v>150000</c:v>
                </c:pt>
                <c:pt idx="150">
                  <c:v>151000</c:v>
                </c:pt>
                <c:pt idx="151">
                  <c:v>152000</c:v>
                </c:pt>
                <c:pt idx="152">
                  <c:v>153000</c:v>
                </c:pt>
                <c:pt idx="153">
                  <c:v>154000</c:v>
                </c:pt>
                <c:pt idx="154">
                  <c:v>155000</c:v>
                </c:pt>
                <c:pt idx="155">
                  <c:v>156000</c:v>
                </c:pt>
                <c:pt idx="156">
                  <c:v>157000</c:v>
                </c:pt>
                <c:pt idx="157">
                  <c:v>158000</c:v>
                </c:pt>
                <c:pt idx="158">
                  <c:v>159000</c:v>
                </c:pt>
                <c:pt idx="159">
                  <c:v>160000</c:v>
                </c:pt>
                <c:pt idx="160">
                  <c:v>161000</c:v>
                </c:pt>
                <c:pt idx="161">
                  <c:v>162000</c:v>
                </c:pt>
                <c:pt idx="162">
                  <c:v>163000</c:v>
                </c:pt>
                <c:pt idx="163">
                  <c:v>164000</c:v>
                </c:pt>
                <c:pt idx="164">
                  <c:v>165000</c:v>
                </c:pt>
                <c:pt idx="165">
                  <c:v>166000</c:v>
                </c:pt>
                <c:pt idx="166">
                  <c:v>167000</c:v>
                </c:pt>
                <c:pt idx="167">
                  <c:v>168000</c:v>
                </c:pt>
                <c:pt idx="168">
                  <c:v>169000</c:v>
                </c:pt>
                <c:pt idx="169">
                  <c:v>170000</c:v>
                </c:pt>
                <c:pt idx="170">
                  <c:v>171000</c:v>
                </c:pt>
                <c:pt idx="171">
                  <c:v>172000</c:v>
                </c:pt>
                <c:pt idx="172">
                  <c:v>173000</c:v>
                </c:pt>
                <c:pt idx="173">
                  <c:v>174000</c:v>
                </c:pt>
                <c:pt idx="174">
                  <c:v>175000</c:v>
                </c:pt>
                <c:pt idx="175">
                  <c:v>176000</c:v>
                </c:pt>
                <c:pt idx="176">
                  <c:v>177000</c:v>
                </c:pt>
                <c:pt idx="177">
                  <c:v>178000</c:v>
                </c:pt>
                <c:pt idx="178">
                  <c:v>179000</c:v>
                </c:pt>
                <c:pt idx="179">
                  <c:v>180000</c:v>
                </c:pt>
                <c:pt idx="180">
                  <c:v>181000</c:v>
                </c:pt>
                <c:pt idx="181">
                  <c:v>182000</c:v>
                </c:pt>
                <c:pt idx="182">
                  <c:v>183000</c:v>
                </c:pt>
                <c:pt idx="183">
                  <c:v>184000</c:v>
                </c:pt>
                <c:pt idx="184">
                  <c:v>185000</c:v>
                </c:pt>
                <c:pt idx="185">
                  <c:v>186000</c:v>
                </c:pt>
                <c:pt idx="186">
                  <c:v>187000</c:v>
                </c:pt>
                <c:pt idx="187">
                  <c:v>188000</c:v>
                </c:pt>
                <c:pt idx="188">
                  <c:v>189000</c:v>
                </c:pt>
                <c:pt idx="189">
                  <c:v>190000</c:v>
                </c:pt>
                <c:pt idx="190">
                  <c:v>191000</c:v>
                </c:pt>
                <c:pt idx="191">
                  <c:v>192000</c:v>
                </c:pt>
                <c:pt idx="192">
                  <c:v>193000</c:v>
                </c:pt>
                <c:pt idx="193">
                  <c:v>194000</c:v>
                </c:pt>
                <c:pt idx="194">
                  <c:v>195000</c:v>
                </c:pt>
                <c:pt idx="195">
                  <c:v>196000</c:v>
                </c:pt>
                <c:pt idx="196">
                  <c:v>197000</c:v>
                </c:pt>
                <c:pt idx="197">
                  <c:v>198000</c:v>
                </c:pt>
                <c:pt idx="198">
                  <c:v>199000</c:v>
                </c:pt>
                <c:pt idx="199">
                  <c:v>200000</c:v>
                </c:pt>
                <c:pt idx="200">
                  <c:v>201000</c:v>
                </c:pt>
                <c:pt idx="201">
                  <c:v>202000</c:v>
                </c:pt>
                <c:pt idx="202">
                  <c:v>203000</c:v>
                </c:pt>
                <c:pt idx="203">
                  <c:v>204000</c:v>
                </c:pt>
                <c:pt idx="204">
                  <c:v>205000</c:v>
                </c:pt>
                <c:pt idx="205">
                  <c:v>206000</c:v>
                </c:pt>
                <c:pt idx="206">
                  <c:v>207000</c:v>
                </c:pt>
                <c:pt idx="207">
                  <c:v>208000</c:v>
                </c:pt>
                <c:pt idx="208">
                  <c:v>209000</c:v>
                </c:pt>
                <c:pt idx="209">
                  <c:v>210000</c:v>
                </c:pt>
                <c:pt idx="210">
                  <c:v>211000</c:v>
                </c:pt>
                <c:pt idx="211">
                  <c:v>212000</c:v>
                </c:pt>
                <c:pt idx="212">
                  <c:v>213000</c:v>
                </c:pt>
                <c:pt idx="213">
                  <c:v>214000</c:v>
                </c:pt>
                <c:pt idx="214">
                  <c:v>215000</c:v>
                </c:pt>
                <c:pt idx="215">
                  <c:v>216000</c:v>
                </c:pt>
                <c:pt idx="216">
                  <c:v>217000</c:v>
                </c:pt>
                <c:pt idx="217">
                  <c:v>218000</c:v>
                </c:pt>
                <c:pt idx="218">
                  <c:v>219000</c:v>
                </c:pt>
                <c:pt idx="219">
                  <c:v>220000</c:v>
                </c:pt>
                <c:pt idx="220">
                  <c:v>221000</c:v>
                </c:pt>
                <c:pt idx="221">
                  <c:v>222000</c:v>
                </c:pt>
                <c:pt idx="222">
                  <c:v>223000</c:v>
                </c:pt>
                <c:pt idx="223">
                  <c:v>224000</c:v>
                </c:pt>
                <c:pt idx="224">
                  <c:v>225000</c:v>
                </c:pt>
                <c:pt idx="225">
                  <c:v>226000</c:v>
                </c:pt>
                <c:pt idx="226">
                  <c:v>227000</c:v>
                </c:pt>
                <c:pt idx="227">
                  <c:v>228000</c:v>
                </c:pt>
                <c:pt idx="228">
                  <c:v>229000</c:v>
                </c:pt>
                <c:pt idx="229">
                  <c:v>230000</c:v>
                </c:pt>
                <c:pt idx="230">
                  <c:v>231000</c:v>
                </c:pt>
                <c:pt idx="231">
                  <c:v>232000</c:v>
                </c:pt>
                <c:pt idx="232">
                  <c:v>233000</c:v>
                </c:pt>
                <c:pt idx="233">
                  <c:v>234000</c:v>
                </c:pt>
                <c:pt idx="234">
                  <c:v>235000</c:v>
                </c:pt>
                <c:pt idx="235">
                  <c:v>236000</c:v>
                </c:pt>
                <c:pt idx="236">
                  <c:v>237000</c:v>
                </c:pt>
                <c:pt idx="237">
                  <c:v>238000</c:v>
                </c:pt>
                <c:pt idx="238">
                  <c:v>239000</c:v>
                </c:pt>
                <c:pt idx="239">
                  <c:v>240000</c:v>
                </c:pt>
                <c:pt idx="240">
                  <c:v>241000</c:v>
                </c:pt>
                <c:pt idx="241">
                  <c:v>242000</c:v>
                </c:pt>
                <c:pt idx="242">
                  <c:v>243000</c:v>
                </c:pt>
                <c:pt idx="243">
                  <c:v>244000</c:v>
                </c:pt>
                <c:pt idx="244">
                  <c:v>245000</c:v>
                </c:pt>
                <c:pt idx="245">
                  <c:v>246000</c:v>
                </c:pt>
                <c:pt idx="246">
                  <c:v>247000</c:v>
                </c:pt>
                <c:pt idx="247">
                  <c:v>248000</c:v>
                </c:pt>
                <c:pt idx="248">
                  <c:v>249000</c:v>
                </c:pt>
                <c:pt idx="249">
                  <c:v>250000</c:v>
                </c:pt>
                <c:pt idx="250">
                  <c:v>251000</c:v>
                </c:pt>
                <c:pt idx="251">
                  <c:v>252000</c:v>
                </c:pt>
                <c:pt idx="252">
                  <c:v>253000</c:v>
                </c:pt>
                <c:pt idx="253">
                  <c:v>254000</c:v>
                </c:pt>
                <c:pt idx="254">
                  <c:v>255000</c:v>
                </c:pt>
                <c:pt idx="255">
                  <c:v>256000</c:v>
                </c:pt>
                <c:pt idx="256">
                  <c:v>257000</c:v>
                </c:pt>
                <c:pt idx="257">
                  <c:v>258000</c:v>
                </c:pt>
                <c:pt idx="258">
                  <c:v>259000</c:v>
                </c:pt>
                <c:pt idx="259">
                  <c:v>260000</c:v>
                </c:pt>
                <c:pt idx="260">
                  <c:v>261000</c:v>
                </c:pt>
                <c:pt idx="261">
                  <c:v>262000</c:v>
                </c:pt>
                <c:pt idx="262">
                  <c:v>263000</c:v>
                </c:pt>
                <c:pt idx="263">
                  <c:v>264000</c:v>
                </c:pt>
                <c:pt idx="264">
                  <c:v>265000</c:v>
                </c:pt>
                <c:pt idx="265">
                  <c:v>266000</c:v>
                </c:pt>
                <c:pt idx="266">
                  <c:v>267000</c:v>
                </c:pt>
                <c:pt idx="267">
                  <c:v>268000</c:v>
                </c:pt>
                <c:pt idx="268">
                  <c:v>269000</c:v>
                </c:pt>
                <c:pt idx="269">
                  <c:v>270000</c:v>
                </c:pt>
                <c:pt idx="270">
                  <c:v>271000</c:v>
                </c:pt>
                <c:pt idx="271">
                  <c:v>272000</c:v>
                </c:pt>
                <c:pt idx="272">
                  <c:v>273000</c:v>
                </c:pt>
                <c:pt idx="273">
                  <c:v>274000</c:v>
                </c:pt>
                <c:pt idx="274">
                  <c:v>275000</c:v>
                </c:pt>
                <c:pt idx="275">
                  <c:v>276000</c:v>
                </c:pt>
                <c:pt idx="276">
                  <c:v>277000</c:v>
                </c:pt>
                <c:pt idx="277">
                  <c:v>278000</c:v>
                </c:pt>
                <c:pt idx="278">
                  <c:v>279000</c:v>
                </c:pt>
                <c:pt idx="279">
                  <c:v>280000</c:v>
                </c:pt>
                <c:pt idx="280">
                  <c:v>281000</c:v>
                </c:pt>
                <c:pt idx="281">
                  <c:v>282000</c:v>
                </c:pt>
                <c:pt idx="282">
                  <c:v>283000</c:v>
                </c:pt>
                <c:pt idx="283">
                  <c:v>284000</c:v>
                </c:pt>
                <c:pt idx="284">
                  <c:v>285000</c:v>
                </c:pt>
                <c:pt idx="285">
                  <c:v>286000</c:v>
                </c:pt>
                <c:pt idx="286">
                  <c:v>287000</c:v>
                </c:pt>
                <c:pt idx="287">
                  <c:v>288000</c:v>
                </c:pt>
                <c:pt idx="288">
                  <c:v>289000</c:v>
                </c:pt>
                <c:pt idx="289">
                  <c:v>290000</c:v>
                </c:pt>
                <c:pt idx="290">
                  <c:v>291000</c:v>
                </c:pt>
                <c:pt idx="291">
                  <c:v>292000</c:v>
                </c:pt>
                <c:pt idx="292">
                  <c:v>293000</c:v>
                </c:pt>
                <c:pt idx="293">
                  <c:v>294000</c:v>
                </c:pt>
                <c:pt idx="294">
                  <c:v>295000</c:v>
                </c:pt>
                <c:pt idx="295">
                  <c:v>296000</c:v>
                </c:pt>
                <c:pt idx="296">
                  <c:v>297000</c:v>
                </c:pt>
                <c:pt idx="297">
                  <c:v>298000</c:v>
                </c:pt>
                <c:pt idx="298">
                  <c:v>299000</c:v>
                </c:pt>
                <c:pt idx="299">
                  <c:v>300000</c:v>
                </c:pt>
                <c:pt idx="300">
                  <c:v>301000</c:v>
                </c:pt>
                <c:pt idx="301">
                  <c:v>302000</c:v>
                </c:pt>
                <c:pt idx="302">
                  <c:v>303000</c:v>
                </c:pt>
                <c:pt idx="303">
                  <c:v>304000</c:v>
                </c:pt>
                <c:pt idx="304">
                  <c:v>305000</c:v>
                </c:pt>
                <c:pt idx="305">
                  <c:v>306000</c:v>
                </c:pt>
                <c:pt idx="306">
                  <c:v>307000</c:v>
                </c:pt>
                <c:pt idx="307">
                  <c:v>308000</c:v>
                </c:pt>
                <c:pt idx="308">
                  <c:v>309000</c:v>
                </c:pt>
                <c:pt idx="309">
                  <c:v>310000</c:v>
                </c:pt>
                <c:pt idx="310">
                  <c:v>311000</c:v>
                </c:pt>
                <c:pt idx="311">
                  <c:v>312000</c:v>
                </c:pt>
                <c:pt idx="312">
                  <c:v>313000</c:v>
                </c:pt>
                <c:pt idx="313">
                  <c:v>314000</c:v>
                </c:pt>
                <c:pt idx="314">
                  <c:v>315000</c:v>
                </c:pt>
                <c:pt idx="315">
                  <c:v>316000</c:v>
                </c:pt>
                <c:pt idx="316">
                  <c:v>317000</c:v>
                </c:pt>
                <c:pt idx="317">
                  <c:v>318000</c:v>
                </c:pt>
                <c:pt idx="318">
                  <c:v>319000</c:v>
                </c:pt>
                <c:pt idx="319">
                  <c:v>320000</c:v>
                </c:pt>
                <c:pt idx="320">
                  <c:v>321000</c:v>
                </c:pt>
                <c:pt idx="321">
                  <c:v>322000</c:v>
                </c:pt>
                <c:pt idx="322">
                  <c:v>323000</c:v>
                </c:pt>
                <c:pt idx="323">
                  <c:v>324000</c:v>
                </c:pt>
                <c:pt idx="324">
                  <c:v>325000</c:v>
                </c:pt>
                <c:pt idx="325">
                  <c:v>326000</c:v>
                </c:pt>
                <c:pt idx="326">
                  <c:v>327000</c:v>
                </c:pt>
                <c:pt idx="327">
                  <c:v>328000</c:v>
                </c:pt>
                <c:pt idx="328">
                  <c:v>329000</c:v>
                </c:pt>
                <c:pt idx="329">
                  <c:v>330000</c:v>
                </c:pt>
                <c:pt idx="330">
                  <c:v>331000</c:v>
                </c:pt>
                <c:pt idx="331">
                  <c:v>332000</c:v>
                </c:pt>
                <c:pt idx="332">
                  <c:v>333000</c:v>
                </c:pt>
                <c:pt idx="333">
                  <c:v>334000</c:v>
                </c:pt>
                <c:pt idx="334">
                  <c:v>335000</c:v>
                </c:pt>
                <c:pt idx="335">
                  <c:v>336000</c:v>
                </c:pt>
                <c:pt idx="336">
                  <c:v>337000</c:v>
                </c:pt>
                <c:pt idx="337">
                  <c:v>338000</c:v>
                </c:pt>
                <c:pt idx="338">
                  <c:v>339000</c:v>
                </c:pt>
                <c:pt idx="339">
                  <c:v>340000</c:v>
                </c:pt>
                <c:pt idx="340">
                  <c:v>341000</c:v>
                </c:pt>
                <c:pt idx="341">
                  <c:v>342000</c:v>
                </c:pt>
                <c:pt idx="342">
                  <c:v>343000</c:v>
                </c:pt>
                <c:pt idx="343">
                  <c:v>344000</c:v>
                </c:pt>
                <c:pt idx="344">
                  <c:v>345000</c:v>
                </c:pt>
                <c:pt idx="345">
                  <c:v>346000</c:v>
                </c:pt>
                <c:pt idx="346">
                  <c:v>347000</c:v>
                </c:pt>
                <c:pt idx="347">
                  <c:v>348000</c:v>
                </c:pt>
                <c:pt idx="348">
                  <c:v>349000</c:v>
                </c:pt>
                <c:pt idx="349">
                  <c:v>350000</c:v>
                </c:pt>
                <c:pt idx="350">
                  <c:v>351000</c:v>
                </c:pt>
                <c:pt idx="351">
                  <c:v>352000</c:v>
                </c:pt>
                <c:pt idx="352">
                  <c:v>353000</c:v>
                </c:pt>
                <c:pt idx="353">
                  <c:v>354000</c:v>
                </c:pt>
                <c:pt idx="354">
                  <c:v>355000</c:v>
                </c:pt>
                <c:pt idx="355">
                  <c:v>356000</c:v>
                </c:pt>
                <c:pt idx="356">
                  <c:v>357000</c:v>
                </c:pt>
                <c:pt idx="357">
                  <c:v>358000</c:v>
                </c:pt>
                <c:pt idx="358">
                  <c:v>359000</c:v>
                </c:pt>
                <c:pt idx="359">
                  <c:v>360000</c:v>
                </c:pt>
                <c:pt idx="360">
                  <c:v>361000</c:v>
                </c:pt>
                <c:pt idx="361">
                  <c:v>362000</c:v>
                </c:pt>
                <c:pt idx="362">
                  <c:v>363000</c:v>
                </c:pt>
                <c:pt idx="363">
                  <c:v>364000</c:v>
                </c:pt>
                <c:pt idx="364">
                  <c:v>365000</c:v>
                </c:pt>
                <c:pt idx="365">
                  <c:v>366000</c:v>
                </c:pt>
                <c:pt idx="366">
                  <c:v>367000</c:v>
                </c:pt>
                <c:pt idx="367">
                  <c:v>368000</c:v>
                </c:pt>
                <c:pt idx="368">
                  <c:v>369000</c:v>
                </c:pt>
                <c:pt idx="369">
                  <c:v>370000</c:v>
                </c:pt>
                <c:pt idx="370">
                  <c:v>371000</c:v>
                </c:pt>
                <c:pt idx="371">
                  <c:v>372000</c:v>
                </c:pt>
                <c:pt idx="372">
                  <c:v>373000</c:v>
                </c:pt>
                <c:pt idx="373">
                  <c:v>374000</c:v>
                </c:pt>
                <c:pt idx="374">
                  <c:v>375000</c:v>
                </c:pt>
                <c:pt idx="375">
                  <c:v>376000</c:v>
                </c:pt>
                <c:pt idx="376">
                  <c:v>377000</c:v>
                </c:pt>
                <c:pt idx="377">
                  <c:v>378000</c:v>
                </c:pt>
                <c:pt idx="378">
                  <c:v>379000</c:v>
                </c:pt>
                <c:pt idx="379">
                  <c:v>380000</c:v>
                </c:pt>
                <c:pt idx="380">
                  <c:v>381000</c:v>
                </c:pt>
                <c:pt idx="381">
                  <c:v>382000</c:v>
                </c:pt>
                <c:pt idx="382">
                  <c:v>383000</c:v>
                </c:pt>
                <c:pt idx="383">
                  <c:v>384000</c:v>
                </c:pt>
                <c:pt idx="384">
                  <c:v>385000</c:v>
                </c:pt>
                <c:pt idx="385">
                  <c:v>386000</c:v>
                </c:pt>
                <c:pt idx="386">
                  <c:v>387000</c:v>
                </c:pt>
                <c:pt idx="387">
                  <c:v>388000</c:v>
                </c:pt>
                <c:pt idx="388">
                  <c:v>389000</c:v>
                </c:pt>
                <c:pt idx="389">
                  <c:v>390000</c:v>
                </c:pt>
                <c:pt idx="390">
                  <c:v>391000</c:v>
                </c:pt>
                <c:pt idx="391">
                  <c:v>392000</c:v>
                </c:pt>
                <c:pt idx="392">
                  <c:v>393000</c:v>
                </c:pt>
                <c:pt idx="393">
                  <c:v>394000</c:v>
                </c:pt>
                <c:pt idx="394">
                  <c:v>395000</c:v>
                </c:pt>
                <c:pt idx="395">
                  <c:v>396000</c:v>
                </c:pt>
                <c:pt idx="396">
                  <c:v>397000</c:v>
                </c:pt>
                <c:pt idx="397">
                  <c:v>398000</c:v>
                </c:pt>
                <c:pt idx="398">
                  <c:v>399000</c:v>
                </c:pt>
                <c:pt idx="399">
                  <c:v>400000</c:v>
                </c:pt>
                <c:pt idx="400">
                  <c:v>401000</c:v>
                </c:pt>
                <c:pt idx="401">
                  <c:v>402000</c:v>
                </c:pt>
                <c:pt idx="402">
                  <c:v>403000</c:v>
                </c:pt>
                <c:pt idx="403">
                  <c:v>404000</c:v>
                </c:pt>
                <c:pt idx="404">
                  <c:v>405000</c:v>
                </c:pt>
                <c:pt idx="405">
                  <c:v>406000</c:v>
                </c:pt>
                <c:pt idx="406">
                  <c:v>407000</c:v>
                </c:pt>
                <c:pt idx="407">
                  <c:v>408000</c:v>
                </c:pt>
                <c:pt idx="408">
                  <c:v>409000</c:v>
                </c:pt>
                <c:pt idx="409">
                  <c:v>410000</c:v>
                </c:pt>
                <c:pt idx="410">
                  <c:v>411000</c:v>
                </c:pt>
                <c:pt idx="411">
                  <c:v>412000</c:v>
                </c:pt>
                <c:pt idx="412">
                  <c:v>413000</c:v>
                </c:pt>
                <c:pt idx="413">
                  <c:v>414000</c:v>
                </c:pt>
                <c:pt idx="414">
                  <c:v>415000</c:v>
                </c:pt>
                <c:pt idx="415">
                  <c:v>416000</c:v>
                </c:pt>
                <c:pt idx="416">
                  <c:v>417000</c:v>
                </c:pt>
                <c:pt idx="417">
                  <c:v>418000</c:v>
                </c:pt>
                <c:pt idx="418">
                  <c:v>419000</c:v>
                </c:pt>
                <c:pt idx="419">
                  <c:v>420000</c:v>
                </c:pt>
                <c:pt idx="420">
                  <c:v>421000</c:v>
                </c:pt>
                <c:pt idx="421">
                  <c:v>422000</c:v>
                </c:pt>
                <c:pt idx="422">
                  <c:v>423000</c:v>
                </c:pt>
                <c:pt idx="423">
                  <c:v>424000</c:v>
                </c:pt>
                <c:pt idx="424">
                  <c:v>425000</c:v>
                </c:pt>
                <c:pt idx="425">
                  <c:v>426000</c:v>
                </c:pt>
                <c:pt idx="426">
                  <c:v>427000</c:v>
                </c:pt>
                <c:pt idx="427">
                  <c:v>428000</c:v>
                </c:pt>
                <c:pt idx="428">
                  <c:v>429000</c:v>
                </c:pt>
                <c:pt idx="429">
                  <c:v>430000</c:v>
                </c:pt>
                <c:pt idx="430">
                  <c:v>431000</c:v>
                </c:pt>
                <c:pt idx="431">
                  <c:v>432000</c:v>
                </c:pt>
                <c:pt idx="432">
                  <c:v>433000</c:v>
                </c:pt>
                <c:pt idx="433">
                  <c:v>434000</c:v>
                </c:pt>
                <c:pt idx="434">
                  <c:v>435000</c:v>
                </c:pt>
                <c:pt idx="435">
                  <c:v>436000</c:v>
                </c:pt>
                <c:pt idx="436">
                  <c:v>437000</c:v>
                </c:pt>
                <c:pt idx="437">
                  <c:v>438000</c:v>
                </c:pt>
                <c:pt idx="438">
                  <c:v>439000</c:v>
                </c:pt>
                <c:pt idx="439">
                  <c:v>440000</c:v>
                </c:pt>
                <c:pt idx="440">
                  <c:v>441000</c:v>
                </c:pt>
                <c:pt idx="441">
                  <c:v>442000</c:v>
                </c:pt>
                <c:pt idx="442">
                  <c:v>443000</c:v>
                </c:pt>
                <c:pt idx="443">
                  <c:v>444000</c:v>
                </c:pt>
                <c:pt idx="444">
                  <c:v>445000</c:v>
                </c:pt>
                <c:pt idx="445">
                  <c:v>446000</c:v>
                </c:pt>
                <c:pt idx="446">
                  <c:v>447000</c:v>
                </c:pt>
                <c:pt idx="447">
                  <c:v>448000</c:v>
                </c:pt>
                <c:pt idx="448">
                  <c:v>449000</c:v>
                </c:pt>
                <c:pt idx="449">
                  <c:v>450000</c:v>
                </c:pt>
                <c:pt idx="450">
                  <c:v>451000</c:v>
                </c:pt>
                <c:pt idx="451">
                  <c:v>452000</c:v>
                </c:pt>
                <c:pt idx="452">
                  <c:v>453000</c:v>
                </c:pt>
                <c:pt idx="453">
                  <c:v>454000</c:v>
                </c:pt>
                <c:pt idx="454">
                  <c:v>455000</c:v>
                </c:pt>
                <c:pt idx="455">
                  <c:v>456000</c:v>
                </c:pt>
                <c:pt idx="456">
                  <c:v>457000</c:v>
                </c:pt>
                <c:pt idx="457">
                  <c:v>458000</c:v>
                </c:pt>
                <c:pt idx="458">
                  <c:v>459000</c:v>
                </c:pt>
                <c:pt idx="459">
                  <c:v>460000</c:v>
                </c:pt>
                <c:pt idx="460">
                  <c:v>461000</c:v>
                </c:pt>
                <c:pt idx="461">
                  <c:v>462000</c:v>
                </c:pt>
                <c:pt idx="462">
                  <c:v>463000</c:v>
                </c:pt>
                <c:pt idx="463">
                  <c:v>464000</c:v>
                </c:pt>
                <c:pt idx="464">
                  <c:v>465000</c:v>
                </c:pt>
                <c:pt idx="465">
                  <c:v>466000</c:v>
                </c:pt>
                <c:pt idx="466">
                  <c:v>467000</c:v>
                </c:pt>
                <c:pt idx="467">
                  <c:v>468000</c:v>
                </c:pt>
                <c:pt idx="468">
                  <c:v>469000</c:v>
                </c:pt>
                <c:pt idx="469">
                  <c:v>470000</c:v>
                </c:pt>
                <c:pt idx="470">
                  <c:v>471000</c:v>
                </c:pt>
                <c:pt idx="471">
                  <c:v>472000</c:v>
                </c:pt>
                <c:pt idx="472">
                  <c:v>473000</c:v>
                </c:pt>
                <c:pt idx="473">
                  <c:v>474000</c:v>
                </c:pt>
                <c:pt idx="474">
                  <c:v>475000</c:v>
                </c:pt>
                <c:pt idx="475">
                  <c:v>476000</c:v>
                </c:pt>
                <c:pt idx="476">
                  <c:v>477000</c:v>
                </c:pt>
                <c:pt idx="477">
                  <c:v>478000</c:v>
                </c:pt>
                <c:pt idx="478">
                  <c:v>479000</c:v>
                </c:pt>
                <c:pt idx="479">
                  <c:v>480000</c:v>
                </c:pt>
                <c:pt idx="480">
                  <c:v>481000</c:v>
                </c:pt>
                <c:pt idx="481">
                  <c:v>482000</c:v>
                </c:pt>
                <c:pt idx="482">
                  <c:v>483000</c:v>
                </c:pt>
                <c:pt idx="483">
                  <c:v>484000</c:v>
                </c:pt>
                <c:pt idx="484">
                  <c:v>485000</c:v>
                </c:pt>
                <c:pt idx="485">
                  <c:v>486000</c:v>
                </c:pt>
                <c:pt idx="486">
                  <c:v>487000</c:v>
                </c:pt>
                <c:pt idx="487">
                  <c:v>488000</c:v>
                </c:pt>
                <c:pt idx="488">
                  <c:v>489000</c:v>
                </c:pt>
                <c:pt idx="489">
                  <c:v>490000</c:v>
                </c:pt>
                <c:pt idx="490">
                  <c:v>491000</c:v>
                </c:pt>
                <c:pt idx="491">
                  <c:v>492000</c:v>
                </c:pt>
                <c:pt idx="492">
                  <c:v>493000</c:v>
                </c:pt>
                <c:pt idx="493">
                  <c:v>494000</c:v>
                </c:pt>
                <c:pt idx="494">
                  <c:v>495000</c:v>
                </c:pt>
                <c:pt idx="495">
                  <c:v>496000</c:v>
                </c:pt>
                <c:pt idx="496">
                  <c:v>497000</c:v>
                </c:pt>
                <c:pt idx="497">
                  <c:v>498000</c:v>
                </c:pt>
                <c:pt idx="498">
                  <c:v>499000</c:v>
                </c:pt>
                <c:pt idx="499">
                  <c:v>500000</c:v>
                </c:pt>
                <c:pt idx="500">
                  <c:v>501000</c:v>
                </c:pt>
                <c:pt idx="501">
                  <c:v>502000</c:v>
                </c:pt>
                <c:pt idx="502">
                  <c:v>503000</c:v>
                </c:pt>
                <c:pt idx="503">
                  <c:v>504000</c:v>
                </c:pt>
                <c:pt idx="504">
                  <c:v>505000</c:v>
                </c:pt>
                <c:pt idx="505">
                  <c:v>506000</c:v>
                </c:pt>
                <c:pt idx="506">
                  <c:v>507000</c:v>
                </c:pt>
                <c:pt idx="507">
                  <c:v>508000</c:v>
                </c:pt>
                <c:pt idx="508">
                  <c:v>509000</c:v>
                </c:pt>
                <c:pt idx="509">
                  <c:v>510000</c:v>
                </c:pt>
                <c:pt idx="510">
                  <c:v>511000</c:v>
                </c:pt>
                <c:pt idx="511">
                  <c:v>512000</c:v>
                </c:pt>
                <c:pt idx="512">
                  <c:v>513000</c:v>
                </c:pt>
                <c:pt idx="513">
                  <c:v>514000</c:v>
                </c:pt>
                <c:pt idx="514">
                  <c:v>515000</c:v>
                </c:pt>
                <c:pt idx="515">
                  <c:v>516000</c:v>
                </c:pt>
                <c:pt idx="516">
                  <c:v>517000</c:v>
                </c:pt>
                <c:pt idx="517">
                  <c:v>518000</c:v>
                </c:pt>
                <c:pt idx="518">
                  <c:v>519000</c:v>
                </c:pt>
                <c:pt idx="519">
                  <c:v>520000</c:v>
                </c:pt>
                <c:pt idx="520">
                  <c:v>521000</c:v>
                </c:pt>
                <c:pt idx="521">
                  <c:v>522000</c:v>
                </c:pt>
                <c:pt idx="522">
                  <c:v>523000</c:v>
                </c:pt>
                <c:pt idx="523">
                  <c:v>524000</c:v>
                </c:pt>
                <c:pt idx="524">
                  <c:v>525000</c:v>
                </c:pt>
                <c:pt idx="525">
                  <c:v>526000</c:v>
                </c:pt>
                <c:pt idx="526">
                  <c:v>527000</c:v>
                </c:pt>
                <c:pt idx="527">
                  <c:v>528000</c:v>
                </c:pt>
                <c:pt idx="528">
                  <c:v>529000</c:v>
                </c:pt>
                <c:pt idx="529">
                  <c:v>530000</c:v>
                </c:pt>
                <c:pt idx="530">
                  <c:v>531000</c:v>
                </c:pt>
                <c:pt idx="531">
                  <c:v>532000</c:v>
                </c:pt>
                <c:pt idx="532">
                  <c:v>533000</c:v>
                </c:pt>
                <c:pt idx="533">
                  <c:v>534000</c:v>
                </c:pt>
                <c:pt idx="534">
                  <c:v>535000</c:v>
                </c:pt>
                <c:pt idx="535">
                  <c:v>536000</c:v>
                </c:pt>
                <c:pt idx="536">
                  <c:v>537000</c:v>
                </c:pt>
                <c:pt idx="537">
                  <c:v>538000</c:v>
                </c:pt>
                <c:pt idx="538">
                  <c:v>539000</c:v>
                </c:pt>
                <c:pt idx="539">
                  <c:v>540000</c:v>
                </c:pt>
                <c:pt idx="540">
                  <c:v>541000</c:v>
                </c:pt>
                <c:pt idx="541">
                  <c:v>542000</c:v>
                </c:pt>
                <c:pt idx="542">
                  <c:v>543000</c:v>
                </c:pt>
                <c:pt idx="543">
                  <c:v>544000</c:v>
                </c:pt>
                <c:pt idx="544">
                  <c:v>545000</c:v>
                </c:pt>
                <c:pt idx="545">
                  <c:v>546000</c:v>
                </c:pt>
                <c:pt idx="546">
                  <c:v>547000</c:v>
                </c:pt>
                <c:pt idx="547">
                  <c:v>548000</c:v>
                </c:pt>
                <c:pt idx="548">
                  <c:v>549000</c:v>
                </c:pt>
                <c:pt idx="549">
                  <c:v>550000</c:v>
                </c:pt>
                <c:pt idx="550">
                  <c:v>551000</c:v>
                </c:pt>
                <c:pt idx="551">
                  <c:v>552000</c:v>
                </c:pt>
                <c:pt idx="552">
                  <c:v>553000</c:v>
                </c:pt>
                <c:pt idx="553">
                  <c:v>554000</c:v>
                </c:pt>
                <c:pt idx="554">
                  <c:v>555000</c:v>
                </c:pt>
                <c:pt idx="555">
                  <c:v>556000</c:v>
                </c:pt>
                <c:pt idx="556">
                  <c:v>557000</c:v>
                </c:pt>
                <c:pt idx="557">
                  <c:v>558000</c:v>
                </c:pt>
                <c:pt idx="558">
                  <c:v>559000</c:v>
                </c:pt>
                <c:pt idx="559">
                  <c:v>560000</c:v>
                </c:pt>
                <c:pt idx="560">
                  <c:v>561000</c:v>
                </c:pt>
                <c:pt idx="561">
                  <c:v>562000</c:v>
                </c:pt>
                <c:pt idx="562">
                  <c:v>563000</c:v>
                </c:pt>
                <c:pt idx="563">
                  <c:v>564000</c:v>
                </c:pt>
                <c:pt idx="564">
                  <c:v>565000</c:v>
                </c:pt>
                <c:pt idx="565">
                  <c:v>566000</c:v>
                </c:pt>
                <c:pt idx="566">
                  <c:v>567000</c:v>
                </c:pt>
                <c:pt idx="567">
                  <c:v>568000</c:v>
                </c:pt>
                <c:pt idx="568">
                  <c:v>569000</c:v>
                </c:pt>
                <c:pt idx="569">
                  <c:v>570000</c:v>
                </c:pt>
                <c:pt idx="570">
                  <c:v>571000</c:v>
                </c:pt>
                <c:pt idx="571">
                  <c:v>572000</c:v>
                </c:pt>
                <c:pt idx="572">
                  <c:v>573000</c:v>
                </c:pt>
                <c:pt idx="573">
                  <c:v>574000</c:v>
                </c:pt>
                <c:pt idx="574">
                  <c:v>575000</c:v>
                </c:pt>
                <c:pt idx="575">
                  <c:v>576000</c:v>
                </c:pt>
                <c:pt idx="576">
                  <c:v>577000</c:v>
                </c:pt>
                <c:pt idx="577">
                  <c:v>578000</c:v>
                </c:pt>
                <c:pt idx="578">
                  <c:v>579000</c:v>
                </c:pt>
                <c:pt idx="579">
                  <c:v>580000</c:v>
                </c:pt>
                <c:pt idx="580">
                  <c:v>581000</c:v>
                </c:pt>
                <c:pt idx="581">
                  <c:v>582000</c:v>
                </c:pt>
                <c:pt idx="582">
                  <c:v>583000</c:v>
                </c:pt>
                <c:pt idx="583">
                  <c:v>584000</c:v>
                </c:pt>
                <c:pt idx="584">
                  <c:v>585000</c:v>
                </c:pt>
                <c:pt idx="585">
                  <c:v>586000</c:v>
                </c:pt>
                <c:pt idx="586">
                  <c:v>587000</c:v>
                </c:pt>
                <c:pt idx="587">
                  <c:v>588000</c:v>
                </c:pt>
                <c:pt idx="588">
                  <c:v>589000</c:v>
                </c:pt>
                <c:pt idx="589">
                  <c:v>590000</c:v>
                </c:pt>
                <c:pt idx="590">
                  <c:v>591000</c:v>
                </c:pt>
                <c:pt idx="591">
                  <c:v>592000</c:v>
                </c:pt>
                <c:pt idx="592">
                  <c:v>593000</c:v>
                </c:pt>
                <c:pt idx="593">
                  <c:v>594000</c:v>
                </c:pt>
                <c:pt idx="594">
                  <c:v>595000</c:v>
                </c:pt>
                <c:pt idx="595">
                  <c:v>596000</c:v>
                </c:pt>
                <c:pt idx="596">
                  <c:v>597000</c:v>
                </c:pt>
                <c:pt idx="597">
                  <c:v>598000</c:v>
                </c:pt>
                <c:pt idx="598">
                  <c:v>599000</c:v>
                </c:pt>
                <c:pt idx="599">
                  <c:v>600000</c:v>
                </c:pt>
                <c:pt idx="600">
                  <c:v>601000</c:v>
                </c:pt>
                <c:pt idx="601">
                  <c:v>602000</c:v>
                </c:pt>
                <c:pt idx="602">
                  <c:v>603000</c:v>
                </c:pt>
                <c:pt idx="603">
                  <c:v>604000</c:v>
                </c:pt>
                <c:pt idx="604">
                  <c:v>605000</c:v>
                </c:pt>
                <c:pt idx="605">
                  <c:v>606000</c:v>
                </c:pt>
                <c:pt idx="606">
                  <c:v>607000</c:v>
                </c:pt>
                <c:pt idx="607">
                  <c:v>608000</c:v>
                </c:pt>
                <c:pt idx="608">
                  <c:v>609000</c:v>
                </c:pt>
                <c:pt idx="609">
                  <c:v>610000</c:v>
                </c:pt>
                <c:pt idx="610">
                  <c:v>611000</c:v>
                </c:pt>
                <c:pt idx="611">
                  <c:v>612000</c:v>
                </c:pt>
                <c:pt idx="612">
                  <c:v>613000</c:v>
                </c:pt>
                <c:pt idx="613">
                  <c:v>614000</c:v>
                </c:pt>
                <c:pt idx="614">
                  <c:v>615000</c:v>
                </c:pt>
                <c:pt idx="615">
                  <c:v>616000</c:v>
                </c:pt>
                <c:pt idx="616">
                  <c:v>617000</c:v>
                </c:pt>
                <c:pt idx="617">
                  <c:v>618000</c:v>
                </c:pt>
                <c:pt idx="618">
                  <c:v>619000</c:v>
                </c:pt>
                <c:pt idx="619">
                  <c:v>620000</c:v>
                </c:pt>
                <c:pt idx="620">
                  <c:v>621000</c:v>
                </c:pt>
                <c:pt idx="621">
                  <c:v>622000</c:v>
                </c:pt>
                <c:pt idx="622">
                  <c:v>623000</c:v>
                </c:pt>
                <c:pt idx="623">
                  <c:v>624000</c:v>
                </c:pt>
                <c:pt idx="624">
                  <c:v>625000</c:v>
                </c:pt>
                <c:pt idx="625">
                  <c:v>626000</c:v>
                </c:pt>
                <c:pt idx="626">
                  <c:v>627000</c:v>
                </c:pt>
                <c:pt idx="627">
                  <c:v>628000</c:v>
                </c:pt>
                <c:pt idx="628">
                  <c:v>629000</c:v>
                </c:pt>
                <c:pt idx="629">
                  <c:v>630000</c:v>
                </c:pt>
                <c:pt idx="630">
                  <c:v>631000</c:v>
                </c:pt>
                <c:pt idx="631">
                  <c:v>632000</c:v>
                </c:pt>
                <c:pt idx="632">
                  <c:v>633000</c:v>
                </c:pt>
                <c:pt idx="633">
                  <c:v>634000</c:v>
                </c:pt>
                <c:pt idx="634">
                  <c:v>635000</c:v>
                </c:pt>
                <c:pt idx="635">
                  <c:v>636000</c:v>
                </c:pt>
                <c:pt idx="636">
                  <c:v>637000</c:v>
                </c:pt>
                <c:pt idx="637">
                  <c:v>638000</c:v>
                </c:pt>
                <c:pt idx="638">
                  <c:v>639000</c:v>
                </c:pt>
                <c:pt idx="639">
                  <c:v>640000</c:v>
                </c:pt>
                <c:pt idx="640">
                  <c:v>641000</c:v>
                </c:pt>
                <c:pt idx="641">
                  <c:v>642000</c:v>
                </c:pt>
                <c:pt idx="642">
                  <c:v>643000</c:v>
                </c:pt>
                <c:pt idx="643">
                  <c:v>644000</c:v>
                </c:pt>
                <c:pt idx="644">
                  <c:v>645000</c:v>
                </c:pt>
                <c:pt idx="645">
                  <c:v>646000</c:v>
                </c:pt>
                <c:pt idx="646">
                  <c:v>647000</c:v>
                </c:pt>
                <c:pt idx="647">
                  <c:v>648000</c:v>
                </c:pt>
                <c:pt idx="648">
                  <c:v>649000</c:v>
                </c:pt>
                <c:pt idx="649">
                  <c:v>650000</c:v>
                </c:pt>
                <c:pt idx="650">
                  <c:v>651000</c:v>
                </c:pt>
                <c:pt idx="651">
                  <c:v>652000</c:v>
                </c:pt>
                <c:pt idx="652">
                  <c:v>653000</c:v>
                </c:pt>
                <c:pt idx="653">
                  <c:v>654000</c:v>
                </c:pt>
                <c:pt idx="654">
                  <c:v>655000</c:v>
                </c:pt>
                <c:pt idx="655">
                  <c:v>656000</c:v>
                </c:pt>
                <c:pt idx="656">
                  <c:v>657000</c:v>
                </c:pt>
                <c:pt idx="657">
                  <c:v>658000</c:v>
                </c:pt>
                <c:pt idx="658">
                  <c:v>659000</c:v>
                </c:pt>
                <c:pt idx="659">
                  <c:v>660000</c:v>
                </c:pt>
                <c:pt idx="660">
                  <c:v>661000</c:v>
                </c:pt>
                <c:pt idx="661">
                  <c:v>662000</c:v>
                </c:pt>
                <c:pt idx="662">
                  <c:v>663000</c:v>
                </c:pt>
                <c:pt idx="663">
                  <c:v>664000</c:v>
                </c:pt>
                <c:pt idx="664">
                  <c:v>665000</c:v>
                </c:pt>
                <c:pt idx="665">
                  <c:v>666000</c:v>
                </c:pt>
                <c:pt idx="666">
                  <c:v>667000</c:v>
                </c:pt>
                <c:pt idx="667">
                  <c:v>668000</c:v>
                </c:pt>
                <c:pt idx="668">
                  <c:v>669000</c:v>
                </c:pt>
                <c:pt idx="669">
                  <c:v>670000</c:v>
                </c:pt>
                <c:pt idx="670">
                  <c:v>671000</c:v>
                </c:pt>
                <c:pt idx="671">
                  <c:v>672000</c:v>
                </c:pt>
                <c:pt idx="672">
                  <c:v>673000</c:v>
                </c:pt>
                <c:pt idx="673">
                  <c:v>674000</c:v>
                </c:pt>
                <c:pt idx="674">
                  <c:v>675000</c:v>
                </c:pt>
                <c:pt idx="675">
                  <c:v>676000</c:v>
                </c:pt>
                <c:pt idx="676">
                  <c:v>677000</c:v>
                </c:pt>
                <c:pt idx="677">
                  <c:v>678000</c:v>
                </c:pt>
                <c:pt idx="678">
                  <c:v>679000</c:v>
                </c:pt>
                <c:pt idx="679">
                  <c:v>680000</c:v>
                </c:pt>
                <c:pt idx="680">
                  <c:v>681000</c:v>
                </c:pt>
                <c:pt idx="681">
                  <c:v>682000</c:v>
                </c:pt>
                <c:pt idx="682">
                  <c:v>683000</c:v>
                </c:pt>
                <c:pt idx="683">
                  <c:v>684000</c:v>
                </c:pt>
                <c:pt idx="684">
                  <c:v>685000</c:v>
                </c:pt>
                <c:pt idx="685">
                  <c:v>686000</c:v>
                </c:pt>
                <c:pt idx="686">
                  <c:v>687000</c:v>
                </c:pt>
                <c:pt idx="687">
                  <c:v>688000</c:v>
                </c:pt>
                <c:pt idx="688">
                  <c:v>689000</c:v>
                </c:pt>
                <c:pt idx="689">
                  <c:v>690000</c:v>
                </c:pt>
                <c:pt idx="690">
                  <c:v>691000</c:v>
                </c:pt>
                <c:pt idx="691">
                  <c:v>692000</c:v>
                </c:pt>
                <c:pt idx="692">
                  <c:v>693000</c:v>
                </c:pt>
                <c:pt idx="693">
                  <c:v>694000</c:v>
                </c:pt>
                <c:pt idx="694">
                  <c:v>695000</c:v>
                </c:pt>
                <c:pt idx="695">
                  <c:v>696000</c:v>
                </c:pt>
                <c:pt idx="696">
                  <c:v>697000</c:v>
                </c:pt>
                <c:pt idx="697">
                  <c:v>698000</c:v>
                </c:pt>
                <c:pt idx="698">
                  <c:v>699000</c:v>
                </c:pt>
                <c:pt idx="699">
                  <c:v>700000</c:v>
                </c:pt>
                <c:pt idx="700">
                  <c:v>701000</c:v>
                </c:pt>
                <c:pt idx="701">
                  <c:v>702000</c:v>
                </c:pt>
                <c:pt idx="702">
                  <c:v>703000</c:v>
                </c:pt>
                <c:pt idx="703">
                  <c:v>704000</c:v>
                </c:pt>
                <c:pt idx="704">
                  <c:v>705000</c:v>
                </c:pt>
                <c:pt idx="705">
                  <c:v>706000</c:v>
                </c:pt>
                <c:pt idx="706">
                  <c:v>707000</c:v>
                </c:pt>
                <c:pt idx="707">
                  <c:v>708000</c:v>
                </c:pt>
                <c:pt idx="708">
                  <c:v>709000</c:v>
                </c:pt>
                <c:pt idx="709">
                  <c:v>710000</c:v>
                </c:pt>
                <c:pt idx="710">
                  <c:v>711000</c:v>
                </c:pt>
                <c:pt idx="711">
                  <c:v>712000</c:v>
                </c:pt>
                <c:pt idx="712">
                  <c:v>713000</c:v>
                </c:pt>
                <c:pt idx="713">
                  <c:v>714000</c:v>
                </c:pt>
                <c:pt idx="714">
                  <c:v>715000</c:v>
                </c:pt>
                <c:pt idx="715">
                  <c:v>716000</c:v>
                </c:pt>
                <c:pt idx="716">
                  <c:v>717000</c:v>
                </c:pt>
                <c:pt idx="717">
                  <c:v>718000</c:v>
                </c:pt>
                <c:pt idx="718">
                  <c:v>719000</c:v>
                </c:pt>
                <c:pt idx="719">
                  <c:v>720000</c:v>
                </c:pt>
                <c:pt idx="720">
                  <c:v>721000</c:v>
                </c:pt>
                <c:pt idx="721">
                  <c:v>722000</c:v>
                </c:pt>
                <c:pt idx="722">
                  <c:v>723000</c:v>
                </c:pt>
                <c:pt idx="723">
                  <c:v>724000</c:v>
                </c:pt>
                <c:pt idx="724">
                  <c:v>725000</c:v>
                </c:pt>
                <c:pt idx="725">
                  <c:v>726000</c:v>
                </c:pt>
                <c:pt idx="726">
                  <c:v>727000</c:v>
                </c:pt>
                <c:pt idx="727">
                  <c:v>728000</c:v>
                </c:pt>
                <c:pt idx="728">
                  <c:v>729000</c:v>
                </c:pt>
                <c:pt idx="729">
                  <c:v>730000</c:v>
                </c:pt>
                <c:pt idx="730">
                  <c:v>731000</c:v>
                </c:pt>
                <c:pt idx="731">
                  <c:v>732000</c:v>
                </c:pt>
                <c:pt idx="732">
                  <c:v>733000</c:v>
                </c:pt>
                <c:pt idx="733">
                  <c:v>734000</c:v>
                </c:pt>
                <c:pt idx="734">
                  <c:v>735000</c:v>
                </c:pt>
                <c:pt idx="735">
                  <c:v>736000</c:v>
                </c:pt>
                <c:pt idx="736">
                  <c:v>737000</c:v>
                </c:pt>
                <c:pt idx="737">
                  <c:v>738000</c:v>
                </c:pt>
                <c:pt idx="738">
                  <c:v>739000</c:v>
                </c:pt>
                <c:pt idx="739">
                  <c:v>740000</c:v>
                </c:pt>
                <c:pt idx="740">
                  <c:v>741000</c:v>
                </c:pt>
                <c:pt idx="741">
                  <c:v>742000</c:v>
                </c:pt>
                <c:pt idx="742">
                  <c:v>743000</c:v>
                </c:pt>
                <c:pt idx="743">
                  <c:v>744000</c:v>
                </c:pt>
                <c:pt idx="744">
                  <c:v>745000</c:v>
                </c:pt>
                <c:pt idx="745">
                  <c:v>746000</c:v>
                </c:pt>
                <c:pt idx="746">
                  <c:v>747000</c:v>
                </c:pt>
                <c:pt idx="747">
                  <c:v>748000</c:v>
                </c:pt>
                <c:pt idx="748">
                  <c:v>749000</c:v>
                </c:pt>
                <c:pt idx="749">
                  <c:v>750000</c:v>
                </c:pt>
                <c:pt idx="750">
                  <c:v>751000</c:v>
                </c:pt>
                <c:pt idx="751">
                  <c:v>752000</c:v>
                </c:pt>
                <c:pt idx="752">
                  <c:v>753000</c:v>
                </c:pt>
                <c:pt idx="753">
                  <c:v>754000</c:v>
                </c:pt>
                <c:pt idx="754">
                  <c:v>755000</c:v>
                </c:pt>
                <c:pt idx="755">
                  <c:v>756000</c:v>
                </c:pt>
                <c:pt idx="756">
                  <c:v>757000</c:v>
                </c:pt>
                <c:pt idx="757">
                  <c:v>758000</c:v>
                </c:pt>
                <c:pt idx="758">
                  <c:v>759000</c:v>
                </c:pt>
                <c:pt idx="759">
                  <c:v>760000</c:v>
                </c:pt>
                <c:pt idx="760">
                  <c:v>761000</c:v>
                </c:pt>
                <c:pt idx="761">
                  <c:v>762000</c:v>
                </c:pt>
                <c:pt idx="762">
                  <c:v>763000</c:v>
                </c:pt>
                <c:pt idx="763">
                  <c:v>764000</c:v>
                </c:pt>
                <c:pt idx="764">
                  <c:v>765000</c:v>
                </c:pt>
                <c:pt idx="765">
                  <c:v>766000</c:v>
                </c:pt>
                <c:pt idx="766">
                  <c:v>767000</c:v>
                </c:pt>
                <c:pt idx="767">
                  <c:v>768000</c:v>
                </c:pt>
                <c:pt idx="768">
                  <c:v>769000</c:v>
                </c:pt>
                <c:pt idx="769">
                  <c:v>770000</c:v>
                </c:pt>
                <c:pt idx="770">
                  <c:v>771000</c:v>
                </c:pt>
                <c:pt idx="771">
                  <c:v>772000</c:v>
                </c:pt>
                <c:pt idx="772">
                  <c:v>773000</c:v>
                </c:pt>
                <c:pt idx="773">
                  <c:v>774000</c:v>
                </c:pt>
                <c:pt idx="774">
                  <c:v>775000</c:v>
                </c:pt>
                <c:pt idx="775">
                  <c:v>776000</c:v>
                </c:pt>
                <c:pt idx="776">
                  <c:v>777000</c:v>
                </c:pt>
                <c:pt idx="777">
                  <c:v>778000</c:v>
                </c:pt>
                <c:pt idx="778">
                  <c:v>779000</c:v>
                </c:pt>
                <c:pt idx="779">
                  <c:v>780000</c:v>
                </c:pt>
                <c:pt idx="780">
                  <c:v>781000</c:v>
                </c:pt>
                <c:pt idx="781">
                  <c:v>782000</c:v>
                </c:pt>
                <c:pt idx="782">
                  <c:v>783000</c:v>
                </c:pt>
                <c:pt idx="783">
                  <c:v>784000</c:v>
                </c:pt>
                <c:pt idx="784">
                  <c:v>785000</c:v>
                </c:pt>
                <c:pt idx="785">
                  <c:v>786000</c:v>
                </c:pt>
                <c:pt idx="786">
                  <c:v>787000</c:v>
                </c:pt>
                <c:pt idx="787">
                  <c:v>788000</c:v>
                </c:pt>
                <c:pt idx="788">
                  <c:v>789000</c:v>
                </c:pt>
                <c:pt idx="789">
                  <c:v>790000</c:v>
                </c:pt>
                <c:pt idx="790">
                  <c:v>791000</c:v>
                </c:pt>
                <c:pt idx="791">
                  <c:v>792000</c:v>
                </c:pt>
                <c:pt idx="792">
                  <c:v>793000</c:v>
                </c:pt>
                <c:pt idx="793">
                  <c:v>794000</c:v>
                </c:pt>
                <c:pt idx="794">
                  <c:v>795000</c:v>
                </c:pt>
                <c:pt idx="795">
                  <c:v>796000</c:v>
                </c:pt>
                <c:pt idx="796">
                  <c:v>797000</c:v>
                </c:pt>
                <c:pt idx="797">
                  <c:v>798000</c:v>
                </c:pt>
                <c:pt idx="798">
                  <c:v>799000</c:v>
                </c:pt>
                <c:pt idx="799">
                  <c:v>800000</c:v>
                </c:pt>
                <c:pt idx="800">
                  <c:v>801000</c:v>
                </c:pt>
                <c:pt idx="801">
                  <c:v>802000</c:v>
                </c:pt>
                <c:pt idx="802">
                  <c:v>803000</c:v>
                </c:pt>
                <c:pt idx="803">
                  <c:v>804000</c:v>
                </c:pt>
                <c:pt idx="804">
                  <c:v>805000</c:v>
                </c:pt>
                <c:pt idx="805">
                  <c:v>806000</c:v>
                </c:pt>
                <c:pt idx="806">
                  <c:v>807000</c:v>
                </c:pt>
                <c:pt idx="807">
                  <c:v>808000</c:v>
                </c:pt>
                <c:pt idx="808">
                  <c:v>809000</c:v>
                </c:pt>
                <c:pt idx="809">
                  <c:v>810000</c:v>
                </c:pt>
                <c:pt idx="810">
                  <c:v>811000</c:v>
                </c:pt>
                <c:pt idx="811">
                  <c:v>812000</c:v>
                </c:pt>
                <c:pt idx="812">
                  <c:v>813000</c:v>
                </c:pt>
                <c:pt idx="813">
                  <c:v>814000</c:v>
                </c:pt>
                <c:pt idx="814">
                  <c:v>815000</c:v>
                </c:pt>
                <c:pt idx="815">
                  <c:v>816000</c:v>
                </c:pt>
                <c:pt idx="816">
                  <c:v>817000</c:v>
                </c:pt>
                <c:pt idx="817">
                  <c:v>818000</c:v>
                </c:pt>
                <c:pt idx="818">
                  <c:v>819000</c:v>
                </c:pt>
                <c:pt idx="819">
                  <c:v>820000</c:v>
                </c:pt>
                <c:pt idx="820">
                  <c:v>821000</c:v>
                </c:pt>
                <c:pt idx="821">
                  <c:v>822000</c:v>
                </c:pt>
                <c:pt idx="822">
                  <c:v>823000</c:v>
                </c:pt>
                <c:pt idx="823">
                  <c:v>824000</c:v>
                </c:pt>
                <c:pt idx="824">
                  <c:v>825000</c:v>
                </c:pt>
                <c:pt idx="825">
                  <c:v>826000</c:v>
                </c:pt>
                <c:pt idx="826">
                  <c:v>827000</c:v>
                </c:pt>
                <c:pt idx="827">
                  <c:v>828000</c:v>
                </c:pt>
                <c:pt idx="828">
                  <c:v>829000</c:v>
                </c:pt>
                <c:pt idx="829">
                  <c:v>830000</c:v>
                </c:pt>
                <c:pt idx="830">
                  <c:v>831000</c:v>
                </c:pt>
                <c:pt idx="831">
                  <c:v>832000</c:v>
                </c:pt>
                <c:pt idx="832">
                  <c:v>833000</c:v>
                </c:pt>
                <c:pt idx="833">
                  <c:v>834000</c:v>
                </c:pt>
                <c:pt idx="834">
                  <c:v>835000</c:v>
                </c:pt>
                <c:pt idx="835">
                  <c:v>836000</c:v>
                </c:pt>
                <c:pt idx="836">
                  <c:v>837000</c:v>
                </c:pt>
                <c:pt idx="837">
                  <c:v>838000</c:v>
                </c:pt>
                <c:pt idx="838">
                  <c:v>839000</c:v>
                </c:pt>
                <c:pt idx="839">
                  <c:v>840000</c:v>
                </c:pt>
                <c:pt idx="840">
                  <c:v>841000</c:v>
                </c:pt>
                <c:pt idx="841">
                  <c:v>842000</c:v>
                </c:pt>
                <c:pt idx="842">
                  <c:v>843000</c:v>
                </c:pt>
                <c:pt idx="843">
                  <c:v>844000</c:v>
                </c:pt>
                <c:pt idx="844">
                  <c:v>845000</c:v>
                </c:pt>
                <c:pt idx="845">
                  <c:v>846000</c:v>
                </c:pt>
                <c:pt idx="846">
                  <c:v>847000</c:v>
                </c:pt>
                <c:pt idx="847">
                  <c:v>848000</c:v>
                </c:pt>
                <c:pt idx="848">
                  <c:v>849000</c:v>
                </c:pt>
                <c:pt idx="849">
                  <c:v>850000</c:v>
                </c:pt>
                <c:pt idx="850">
                  <c:v>851000</c:v>
                </c:pt>
                <c:pt idx="851">
                  <c:v>852000</c:v>
                </c:pt>
                <c:pt idx="852">
                  <c:v>853000</c:v>
                </c:pt>
                <c:pt idx="853">
                  <c:v>854000</c:v>
                </c:pt>
                <c:pt idx="854">
                  <c:v>855000</c:v>
                </c:pt>
                <c:pt idx="855">
                  <c:v>856000</c:v>
                </c:pt>
                <c:pt idx="856">
                  <c:v>857000</c:v>
                </c:pt>
                <c:pt idx="857">
                  <c:v>858000</c:v>
                </c:pt>
                <c:pt idx="858">
                  <c:v>859000</c:v>
                </c:pt>
                <c:pt idx="859">
                  <c:v>860000</c:v>
                </c:pt>
                <c:pt idx="860">
                  <c:v>861000</c:v>
                </c:pt>
                <c:pt idx="861">
                  <c:v>862000</c:v>
                </c:pt>
                <c:pt idx="862">
                  <c:v>863000</c:v>
                </c:pt>
                <c:pt idx="863">
                  <c:v>864000</c:v>
                </c:pt>
                <c:pt idx="864">
                  <c:v>865000</c:v>
                </c:pt>
                <c:pt idx="865">
                  <c:v>866000</c:v>
                </c:pt>
                <c:pt idx="866">
                  <c:v>867000</c:v>
                </c:pt>
                <c:pt idx="867">
                  <c:v>868000</c:v>
                </c:pt>
                <c:pt idx="868">
                  <c:v>869000</c:v>
                </c:pt>
                <c:pt idx="869">
                  <c:v>870000</c:v>
                </c:pt>
                <c:pt idx="870">
                  <c:v>871000</c:v>
                </c:pt>
                <c:pt idx="871">
                  <c:v>872000</c:v>
                </c:pt>
                <c:pt idx="872">
                  <c:v>873000</c:v>
                </c:pt>
                <c:pt idx="873">
                  <c:v>874000</c:v>
                </c:pt>
                <c:pt idx="874">
                  <c:v>875000</c:v>
                </c:pt>
                <c:pt idx="875">
                  <c:v>876000</c:v>
                </c:pt>
                <c:pt idx="876">
                  <c:v>877000</c:v>
                </c:pt>
                <c:pt idx="877">
                  <c:v>878000</c:v>
                </c:pt>
                <c:pt idx="878">
                  <c:v>879000</c:v>
                </c:pt>
                <c:pt idx="879">
                  <c:v>880000</c:v>
                </c:pt>
                <c:pt idx="880">
                  <c:v>881000</c:v>
                </c:pt>
                <c:pt idx="881">
                  <c:v>882000</c:v>
                </c:pt>
                <c:pt idx="882">
                  <c:v>883000</c:v>
                </c:pt>
                <c:pt idx="883">
                  <c:v>884000</c:v>
                </c:pt>
                <c:pt idx="884">
                  <c:v>885000</c:v>
                </c:pt>
                <c:pt idx="885">
                  <c:v>886000</c:v>
                </c:pt>
                <c:pt idx="886">
                  <c:v>887000</c:v>
                </c:pt>
                <c:pt idx="887">
                  <c:v>888000</c:v>
                </c:pt>
                <c:pt idx="888">
                  <c:v>889000</c:v>
                </c:pt>
                <c:pt idx="889">
                  <c:v>890000</c:v>
                </c:pt>
                <c:pt idx="890">
                  <c:v>891000</c:v>
                </c:pt>
                <c:pt idx="891">
                  <c:v>892000</c:v>
                </c:pt>
                <c:pt idx="892">
                  <c:v>893000</c:v>
                </c:pt>
                <c:pt idx="893">
                  <c:v>894000</c:v>
                </c:pt>
                <c:pt idx="894">
                  <c:v>895000</c:v>
                </c:pt>
                <c:pt idx="895">
                  <c:v>896000</c:v>
                </c:pt>
                <c:pt idx="896">
                  <c:v>897000</c:v>
                </c:pt>
                <c:pt idx="897">
                  <c:v>898000</c:v>
                </c:pt>
                <c:pt idx="898">
                  <c:v>899000</c:v>
                </c:pt>
                <c:pt idx="899">
                  <c:v>900000</c:v>
                </c:pt>
                <c:pt idx="900">
                  <c:v>901000</c:v>
                </c:pt>
                <c:pt idx="901">
                  <c:v>902000</c:v>
                </c:pt>
                <c:pt idx="902">
                  <c:v>903000</c:v>
                </c:pt>
                <c:pt idx="903">
                  <c:v>904000</c:v>
                </c:pt>
                <c:pt idx="904">
                  <c:v>905000</c:v>
                </c:pt>
                <c:pt idx="905">
                  <c:v>906000</c:v>
                </c:pt>
                <c:pt idx="906">
                  <c:v>907000</c:v>
                </c:pt>
                <c:pt idx="907">
                  <c:v>908000</c:v>
                </c:pt>
                <c:pt idx="908">
                  <c:v>909000</c:v>
                </c:pt>
                <c:pt idx="909">
                  <c:v>910000</c:v>
                </c:pt>
                <c:pt idx="910">
                  <c:v>911000</c:v>
                </c:pt>
                <c:pt idx="911">
                  <c:v>912000</c:v>
                </c:pt>
                <c:pt idx="912">
                  <c:v>913000</c:v>
                </c:pt>
                <c:pt idx="913">
                  <c:v>914000</c:v>
                </c:pt>
                <c:pt idx="914">
                  <c:v>915000</c:v>
                </c:pt>
                <c:pt idx="915">
                  <c:v>916000</c:v>
                </c:pt>
                <c:pt idx="916">
                  <c:v>917000</c:v>
                </c:pt>
                <c:pt idx="917">
                  <c:v>918000</c:v>
                </c:pt>
                <c:pt idx="918">
                  <c:v>919000</c:v>
                </c:pt>
                <c:pt idx="919">
                  <c:v>920000</c:v>
                </c:pt>
                <c:pt idx="920">
                  <c:v>921000</c:v>
                </c:pt>
                <c:pt idx="921">
                  <c:v>922000</c:v>
                </c:pt>
                <c:pt idx="922">
                  <c:v>923000</c:v>
                </c:pt>
                <c:pt idx="923">
                  <c:v>924000</c:v>
                </c:pt>
                <c:pt idx="924">
                  <c:v>925000</c:v>
                </c:pt>
                <c:pt idx="925">
                  <c:v>926000</c:v>
                </c:pt>
                <c:pt idx="926">
                  <c:v>927000</c:v>
                </c:pt>
                <c:pt idx="927">
                  <c:v>928000</c:v>
                </c:pt>
                <c:pt idx="928">
                  <c:v>929000</c:v>
                </c:pt>
                <c:pt idx="929">
                  <c:v>930000</c:v>
                </c:pt>
                <c:pt idx="930">
                  <c:v>931000</c:v>
                </c:pt>
                <c:pt idx="931">
                  <c:v>932000</c:v>
                </c:pt>
                <c:pt idx="932">
                  <c:v>933000</c:v>
                </c:pt>
                <c:pt idx="933">
                  <c:v>934000</c:v>
                </c:pt>
                <c:pt idx="934">
                  <c:v>935000</c:v>
                </c:pt>
                <c:pt idx="935">
                  <c:v>936000</c:v>
                </c:pt>
                <c:pt idx="936">
                  <c:v>937000</c:v>
                </c:pt>
                <c:pt idx="937">
                  <c:v>938000</c:v>
                </c:pt>
                <c:pt idx="938">
                  <c:v>939000</c:v>
                </c:pt>
                <c:pt idx="939">
                  <c:v>940000</c:v>
                </c:pt>
                <c:pt idx="940">
                  <c:v>941000</c:v>
                </c:pt>
                <c:pt idx="941">
                  <c:v>942000</c:v>
                </c:pt>
                <c:pt idx="942">
                  <c:v>943000</c:v>
                </c:pt>
                <c:pt idx="943">
                  <c:v>944000</c:v>
                </c:pt>
                <c:pt idx="944">
                  <c:v>945000</c:v>
                </c:pt>
                <c:pt idx="945">
                  <c:v>946000</c:v>
                </c:pt>
                <c:pt idx="946">
                  <c:v>947000</c:v>
                </c:pt>
                <c:pt idx="947">
                  <c:v>948000</c:v>
                </c:pt>
                <c:pt idx="948">
                  <c:v>949000</c:v>
                </c:pt>
                <c:pt idx="949">
                  <c:v>950000</c:v>
                </c:pt>
                <c:pt idx="950">
                  <c:v>951000</c:v>
                </c:pt>
                <c:pt idx="951">
                  <c:v>952000</c:v>
                </c:pt>
                <c:pt idx="952">
                  <c:v>953000</c:v>
                </c:pt>
                <c:pt idx="953">
                  <c:v>954000</c:v>
                </c:pt>
                <c:pt idx="954">
                  <c:v>955000</c:v>
                </c:pt>
                <c:pt idx="955">
                  <c:v>956000</c:v>
                </c:pt>
                <c:pt idx="956">
                  <c:v>957000</c:v>
                </c:pt>
                <c:pt idx="957">
                  <c:v>958000</c:v>
                </c:pt>
                <c:pt idx="958">
                  <c:v>959000</c:v>
                </c:pt>
                <c:pt idx="959">
                  <c:v>960000</c:v>
                </c:pt>
                <c:pt idx="960">
                  <c:v>961000</c:v>
                </c:pt>
                <c:pt idx="961">
                  <c:v>962000</c:v>
                </c:pt>
                <c:pt idx="962">
                  <c:v>963000</c:v>
                </c:pt>
                <c:pt idx="963">
                  <c:v>964000</c:v>
                </c:pt>
                <c:pt idx="964">
                  <c:v>965000</c:v>
                </c:pt>
                <c:pt idx="965">
                  <c:v>966000</c:v>
                </c:pt>
                <c:pt idx="966">
                  <c:v>967000</c:v>
                </c:pt>
                <c:pt idx="967">
                  <c:v>968000</c:v>
                </c:pt>
                <c:pt idx="968">
                  <c:v>969000</c:v>
                </c:pt>
                <c:pt idx="969">
                  <c:v>970000</c:v>
                </c:pt>
                <c:pt idx="970">
                  <c:v>971000</c:v>
                </c:pt>
                <c:pt idx="971">
                  <c:v>972000</c:v>
                </c:pt>
                <c:pt idx="972">
                  <c:v>973000</c:v>
                </c:pt>
                <c:pt idx="973">
                  <c:v>974000</c:v>
                </c:pt>
                <c:pt idx="974">
                  <c:v>975000</c:v>
                </c:pt>
                <c:pt idx="975">
                  <c:v>976000</c:v>
                </c:pt>
                <c:pt idx="976">
                  <c:v>977000</c:v>
                </c:pt>
                <c:pt idx="977">
                  <c:v>978000</c:v>
                </c:pt>
                <c:pt idx="978">
                  <c:v>979000</c:v>
                </c:pt>
                <c:pt idx="979">
                  <c:v>980000</c:v>
                </c:pt>
                <c:pt idx="980">
                  <c:v>981000</c:v>
                </c:pt>
                <c:pt idx="981">
                  <c:v>982000</c:v>
                </c:pt>
                <c:pt idx="982">
                  <c:v>983000</c:v>
                </c:pt>
                <c:pt idx="983">
                  <c:v>984000</c:v>
                </c:pt>
                <c:pt idx="984">
                  <c:v>985000</c:v>
                </c:pt>
                <c:pt idx="985">
                  <c:v>986000</c:v>
                </c:pt>
                <c:pt idx="986">
                  <c:v>987000</c:v>
                </c:pt>
                <c:pt idx="987">
                  <c:v>988000</c:v>
                </c:pt>
                <c:pt idx="988">
                  <c:v>989000</c:v>
                </c:pt>
                <c:pt idx="989">
                  <c:v>990000</c:v>
                </c:pt>
                <c:pt idx="990">
                  <c:v>991000</c:v>
                </c:pt>
                <c:pt idx="991">
                  <c:v>992000</c:v>
                </c:pt>
                <c:pt idx="992">
                  <c:v>993000</c:v>
                </c:pt>
                <c:pt idx="993">
                  <c:v>994000</c:v>
                </c:pt>
                <c:pt idx="994">
                  <c:v>995000</c:v>
                </c:pt>
                <c:pt idx="995">
                  <c:v>996000</c:v>
                </c:pt>
                <c:pt idx="996">
                  <c:v>997000</c:v>
                </c:pt>
                <c:pt idx="997">
                  <c:v>998000</c:v>
                </c:pt>
                <c:pt idx="998">
                  <c:v>999000</c:v>
                </c:pt>
                <c:pt idx="999">
                  <c:v>1000000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ED-4F4B-B69E-6D0936A01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55503"/>
        <c:axId val="812403984"/>
      </c:scatterChart>
      <c:valAx>
        <c:axId val="55255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403984"/>
        <c:crosses val="autoZero"/>
        <c:crossBetween val="midCat"/>
      </c:valAx>
      <c:valAx>
        <c:axId val="81240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55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596900</xdr:colOff>
      <xdr:row>43</xdr:row>
      <xdr:rowOff>25400</xdr:rowOff>
    </xdr:from>
    <xdr:to>
      <xdr:col>6</xdr:col>
      <xdr:colOff>990600</xdr:colOff>
      <xdr:row>56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905BCA-04B8-1380-31FA-050F7E3C4A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673100</xdr:colOff>
      <xdr:row>10</xdr:row>
      <xdr:rowOff>114300</xdr:rowOff>
    </xdr:from>
    <xdr:to>
      <xdr:col>9</xdr:col>
      <xdr:colOff>1409700</xdr:colOff>
      <xdr:row>24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0D5E84-BDDA-E789-F761-D2C9F7E717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D32B7-E784-E040-BAE0-55F9F317FFDF}">
  <dimension ref="A1:X1009"/>
  <sheetViews>
    <sheetView tabSelected="1" topLeftCell="A5" workbookViewId="0">
      <selection activeCell="F1010" sqref="F1010"/>
    </sheetView>
  </sheetViews>
  <sheetFormatPr baseColWidth="10" defaultRowHeight="16" x14ac:dyDescent="0.2"/>
  <cols>
    <col min="1" max="1" width="15.5" customWidth="1"/>
    <col min="2" max="2" width="14.33203125" customWidth="1"/>
    <col min="5" max="5" width="19.1640625" customWidth="1"/>
    <col min="6" max="6" width="24.83203125" customWidth="1"/>
    <col min="7" max="7" width="27.33203125" customWidth="1"/>
    <col min="8" max="8" width="19.6640625" customWidth="1"/>
    <col min="9" max="9" width="30.6640625" customWidth="1"/>
    <col min="10" max="10" width="37" customWidth="1"/>
    <col min="11" max="11" width="19.83203125" customWidth="1"/>
    <col min="12" max="12" width="21.1640625" customWidth="1"/>
    <col min="13" max="13" width="22.1640625" customWidth="1"/>
    <col min="14" max="14" width="38" customWidth="1"/>
    <col min="15" max="15" width="19.6640625" customWidth="1"/>
    <col min="16" max="16" width="19" customWidth="1"/>
    <col min="17" max="17" width="24.6640625" customWidth="1"/>
  </cols>
  <sheetData>
    <row r="1" spans="1:24" x14ac:dyDescent="0.2">
      <c r="A1" t="s">
        <v>25</v>
      </c>
      <c r="B1" t="s">
        <v>26</v>
      </c>
      <c r="C1" t="s">
        <v>27</v>
      </c>
      <c r="E1" t="s">
        <v>0</v>
      </c>
      <c r="F1" t="s">
        <v>16</v>
      </c>
      <c r="G1" t="s">
        <v>17</v>
      </c>
      <c r="H1" t="s">
        <v>28</v>
      </c>
      <c r="I1" t="s">
        <v>18</v>
      </c>
      <c r="J1" t="s">
        <v>35</v>
      </c>
      <c r="K1" t="s">
        <v>36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T1" s="2" t="s">
        <v>29</v>
      </c>
      <c r="U1" s="2" t="s">
        <v>30</v>
      </c>
      <c r="V1" s="2" t="s">
        <v>31</v>
      </c>
      <c r="W1" s="2" t="s">
        <v>34</v>
      </c>
      <c r="X1" s="2" t="s">
        <v>32</v>
      </c>
    </row>
    <row r="2" spans="1:24" x14ac:dyDescent="0.2">
      <c r="A2">
        <v>1</v>
      </c>
      <c r="B2">
        <f>3000/72</f>
        <v>41.666666666666664</v>
      </c>
      <c r="C2">
        <v>1000</v>
      </c>
      <c r="E2" t="s">
        <v>1</v>
      </c>
      <c r="F2">
        <v>50.944016120000001</v>
      </c>
      <c r="G2">
        <v>43.429000000000002</v>
      </c>
      <c r="H2">
        <f>F2/43.429</f>
        <v>1.1730414266964471</v>
      </c>
      <c r="I2">
        <v>671.21458289999998</v>
      </c>
      <c r="J2">
        <f>I2/H2</f>
        <v>572.2002374547792</v>
      </c>
      <c r="K2" s="1">
        <v>2.7099999999999999E-6</v>
      </c>
      <c r="L2" s="1">
        <f>((H2^2)*0.125)/(K2)</f>
        <v>63469.842654337452</v>
      </c>
      <c r="M2" s="1">
        <f>L2*8760</f>
        <v>555995821.65199614</v>
      </c>
      <c r="N2">
        <f>EXP((J2+3.9052)/(26.297))</f>
        <v>3268668931.6408596</v>
      </c>
      <c r="O2">
        <v>1.383819951</v>
      </c>
      <c r="P2" s="1">
        <f>L2*N2</f>
        <v>207461902780366.66</v>
      </c>
      <c r="Q2" s="1">
        <f>P2/O2</f>
        <v>149919722309572.81</v>
      </c>
      <c r="T2" s="2">
        <v>0.25302372000000001</v>
      </c>
      <c r="U2" s="2">
        <v>0.31206328</v>
      </c>
      <c r="V2" s="2">
        <v>0.65741123000000001</v>
      </c>
      <c r="W2" s="2">
        <v>0.34258876999999999</v>
      </c>
      <c r="X2" s="2" t="s">
        <v>33</v>
      </c>
    </row>
    <row r="3" spans="1:24" x14ac:dyDescent="0.2">
      <c r="A3">
        <f>A2+1</f>
        <v>2</v>
      </c>
      <c r="B3">
        <f>3000/71</f>
        <v>42.25352112676056</v>
      </c>
      <c r="C3">
        <f>C2+1000</f>
        <v>2000</v>
      </c>
      <c r="E3" t="s">
        <v>1</v>
      </c>
      <c r="F3">
        <v>50.831556450000001</v>
      </c>
      <c r="G3">
        <v>43.429000000000002</v>
      </c>
      <c r="H3">
        <f t="shared" ref="H3:H66" si="0">F3/43.429</f>
        <v>1.1704519203757857</v>
      </c>
      <c r="I3">
        <v>563.86484810000002</v>
      </c>
      <c r="J3">
        <f t="shared" ref="J3:J66" si="1">I3/H3</f>
        <v>481.74968854676695</v>
      </c>
      <c r="K3" s="1">
        <v>2.7199999999999998E-6</v>
      </c>
      <c r="L3" s="1">
        <f t="shared" ref="L3:L66" si="2">((H3^2)*0.343)/(K3)</f>
        <v>172755.6949939699</v>
      </c>
      <c r="M3" s="1">
        <f t="shared" ref="M3:M66" si="3">L3*8760</f>
        <v>1513339888.1471763</v>
      </c>
      <c r="N3">
        <f t="shared" ref="N3:N66" si="4">EXP((J3+3.9052)/(26.297))</f>
        <v>104853214.00060299</v>
      </c>
      <c r="O3">
        <v>1.220346715</v>
      </c>
      <c r="P3" s="1">
        <f t="shared" ref="P3:P66" si="5">L3*N3</f>
        <v>18113989857025.625</v>
      </c>
      <c r="Q3" s="1">
        <f t="shared" ref="Q3:Q66" si="6">P3/O3</f>
        <v>14843314309266.301</v>
      </c>
    </row>
    <row r="4" spans="1:24" x14ac:dyDescent="0.2">
      <c r="A4">
        <f t="shared" ref="A4:A67" si="7">A3+1</f>
        <v>3</v>
      </c>
      <c r="B4">
        <f>3000/65</f>
        <v>46.153846153846153</v>
      </c>
      <c r="C4">
        <f t="shared" ref="C4:C67" si="8">C3+1000</f>
        <v>3000</v>
      </c>
      <c r="E4" t="s">
        <v>1</v>
      </c>
      <c r="F4">
        <v>50.478757440000003</v>
      </c>
      <c r="G4">
        <v>43.429000000000002</v>
      </c>
      <c r="H4">
        <f t="shared" si="0"/>
        <v>1.1623283391282322</v>
      </c>
      <c r="I4">
        <v>1700.2860149999999</v>
      </c>
      <c r="J4">
        <f t="shared" si="1"/>
        <v>1462.8276346382863</v>
      </c>
      <c r="K4" s="1">
        <v>2.7800000000000001E-6</v>
      </c>
      <c r="L4" s="1">
        <f t="shared" si="2"/>
        <v>166689.01388619569</v>
      </c>
      <c r="M4" s="1">
        <f t="shared" si="3"/>
        <v>1460195761.6430743</v>
      </c>
      <c r="N4">
        <f t="shared" si="4"/>
        <v>1.6713460402171736E+24</v>
      </c>
      <c r="O4">
        <v>1.5092761560000001</v>
      </c>
      <c r="P4" s="1">
        <f t="shared" si="5"/>
        <v>2.7859502330639866E+29</v>
      </c>
      <c r="Q4" s="1">
        <f t="shared" si="6"/>
        <v>1.845885010499024E+29</v>
      </c>
    </row>
    <row r="5" spans="1:24" x14ac:dyDescent="0.2">
      <c r="A5">
        <f t="shared" si="7"/>
        <v>4</v>
      </c>
      <c r="B5">
        <f>3000/62</f>
        <v>48.387096774193552</v>
      </c>
      <c r="C5">
        <f t="shared" si="8"/>
        <v>4000</v>
      </c>
      <c r="E5" t="s">
        <v>1</v>
      </c>
      <c r="F5">
        <v>51.220767360000004</v>
      </c>
      <c r="G5">
        <v>43.429000000000002</v>
      </c>
      <c r="H5">
        <f t="shared" si="0"/>
        <v>1.1794139252573166</v>
      </c>
      <c r="I5">
        <v>473.68393809999998</v>
      </c>
      <c r="J5">
        <f t="shared" si="1"/>
        <v>401.62654345178669</v>
      </c>
      <c r="K5" s="1">
        <v>2.6699999999999998E-6</v>
      </c>
      <c r="L5" s="1">
        <f t="shared" si="2"/>
        <v>178696.21798957634</v>
      </c>
      <c r="M5" s="1">
        <f t="shared" si="3"/>
        <v>1565378869.5886889</v>
      </c>
      <c r="N5">
        <f t="shared" si="4"/>
        <v>4981377.4149575997</v>
      </c>
      <c r="O5">
        <v>1.47886253</v>
      </c>
      <c r="P5" s="1">
        <f t="shared" si="5"/>
        <v>890153304431.61548</v>
      </c>
      <c r="Q5" s="1">
        <f t="shared" si="6"/>
        <v>601917545663.70374</v>
      </c>
    </row>
    <row r="6" spans="1:24" x14ac:dyDescent="0.2">
      <c r="A6">
        <f t="shared" si="7"/>
        <v>5</v>
      </c>
      <c r="B6">
        <f>3000/60</f>
        <v>50</v>
      </c>
      <c r="C6">
        <f t="shared" si="8"/>
        <v>5000</v>
      </c>
      <c r="E6" t="s">
        <v>1</v>
      </c>
      <c r="F6">
        <v>51.801237039999997</v>
      </c>
      <c r="G6">
        <v>43.429000000000002</v>
      </c>
      <c r="H6">
        <f t="shared" si="0"/>
        <v>1.1927798715144258</v>
      </c>
      <c r="I6">
        <v>473.68393809999998</v>
      </c>
      <c r="J6">
        <f t="shared" si="1"/>
        <v>397.12603256674851</v>
      </c>
      <c r="K6" s="1">
        <v>2.5799999999999999E-6</v>
      </c>
      <c r="L6" s="1">
        <f t="shared" si="2"/>
        <v>189145.06624351154</v>
      </c>
      <c r="M6" s="1">
        <f t="shared" si="3"/>
        <v>1656910780.2931612</v>
      </c>
      <c r="N6">
        <f t="shared" si="4"/>
        <v>4197817.8611406228</v>
      </c>
      <c r="O6">
        <v>1.1367092459999999</v>
      </c>
      <c r="P6" s="1">
        <f t="shared" si="5"/>
        <v>793996537423.63904</v>
      </c>
      <c r="Q6" s="1">
        <f t="shared" si="6"/>
        <v>698504512229.18896</v>
      </c>
    </row>
    <row r="7" spans="1:24" x14ac:dyDescent="0.2">
      <c r="A7">
        <f t="shared" si="7"/>
        <v>6</v>
      </c>
      <c r="B7">
        <f>3000/60</f>
        <v>50</v>
      </c>
      <c r="C7">
        <f t="shared" si="8"/>
        <v>6000</v>
      </c>
      <c r="E7" t="s">
        <v>1</v>
      </c>
      <c r="F7">
        <v>55.423335549999997</v>
      </c>
      <c r="G7">
        <v>43.429000000000002</v>
      </c>
      <c r="H7">
        <f t="shared" si="0"/>
        <v>1.2761826325727048</v>
      </c>
      <c r="I7">
        <v>2706.1525969999998</v>
      </c>
      <c r="J7">
        <f t="shared" si="1"/>
        <v>2120.5057394838263</v>
      </c>
      <c r="K7" s="1">
        <v>2.1299999999999999E-6</v>
      </c>
      <c r="L7" s="1">
        <f t="shared" si="2"/>
        <v>262264.90343019174</v>
      </c>
      <c r="M7" s="1">
        <f t="shared" si="3"/>
        <v>2297440554.0484796</v>
      </c>
      <c r="N7">
        <f t="shared" si="4"/>
        <v>1.2150899989083706E+35</v>
      </c>
      <c r="O7">
        <v>0.73753041399999997</v>
      </c>
      <c r="P7" s="1">
        <f t="shared" si="5"/>
        <v>3.186754612226956E+40</v>
      </c>
      <c r="Q7" s="1">
        <f t="shared" si="6"/>
        <v>4.3208450143005981E+40</v>
      </c>
    </row>
    <row r="8" spans="1:24" x14ac:dyDescent="0.2">
      <c r="A8">
        <f t="shared" si="7"/>
        <v>7</v>
      </c>
      <c r="B8">
        <f>3000/53</f>
        <v>56.60377358490566</v>
      </c>
      <c r="C8">
        <f t="shared" si="8"/>
        <v>7000</v>
      </c>
      <c r="E8" t="s">
        <v>1</v>
      </c>
      <c r="F8">
        <v>53.814749380000002</v>
      </c>
      <c r="G8">
        <v>43.429000000000002</v>
      </c>
      <c r="H8">
        <f t="shared" si="0"/>
        <v>1.2391431849685695</v>
      </c>
      <c r="I8">
        <v>1428.3532270000001</v>
      </c>
      <c r="J8">
        <f t="shared" si="1"/>
        <v>1152.6942522273807</v>
      </c>
      <c r="K8" s="1">
        <v>2.3199999999999998E-6</v>
      </c>
      <c r="L8" s="1">
        <f t="shared" si="2"/>
        <v>227012.15977109456</v>
      </c>
      <c r="M8" s="1">
        <f t="shared" si="3"/>
        <v>1988626519.5947883</v>
      </c>
      <c r="N8">
        <f t="shared" si="4"/>
        <v>1.2624644155057299E+19</v>
      </c>
      <c r="O8">
        <v>0.94282238399999996</v>
      </c>
      <c r="P8" s="1">
        <f t="shared" si="5"/>
        <v>2.8659477359810826E+24</v>
      </c>
      <c r="Q8" s="1">
        <f t="shared" si="6"/>
        <v>3.0397536000599267E+24</v>
      </c>
    </row>
    <row r="9" spans="1:24" x14ac:dyDescent="0.2">
      <c r="A9">
        <f t="shared" si="7"/>
        <v>8</v>
      </c>
      <c r="B9">
        <f>3000/52</f>
        <v>57.692307692307693</v>
      </c>
      <c r="C9">
        <f t="shared" si="8"/>
        <v>8000</v>
      </c>
      <c r="E9" t="s">
        <v>1</v>
      </c>
      <c r="F9">
        <v>57.048402709999998</v>
      </c>
      <c r="G9">
        <v>43.429000000000002</v>
      </c>
      <c r="H9">
        <f t="shared" si="0"/>
        <v>1.3136015729121093</v>
      </c>
      <c r="I9">
        <v>597.59067030000006</v>
      </c>
      <c r="J9">
        <f t="shared" si="1"/>
        <v>454.92536140559548</v>
      </c>
      <c r="K9" s="1">
        <v>1.95E-6</v>
      </c>
      <c r="L9" s="1">
        <f t="shared" si="2"/>
        <v>303519.66086077364</v>
      </c>
      <c r="M9" s="1">
        <f t="shared" si="3"/>
        <v>2658832229.140377</v>
      </c>
      <c r="N9">
        <f t="shared" si="4"/>
        <v>37807544.065727741</v>
      </c>
      <c r="O9">
        <v>1.030261557</v>
      </c>
      <c r="P9" s="1">
        <f t="shared" si="5"/>
        <v>11475332952808.439</v>
      </c>
      <c r="Q9" s="1">
        <f t="shared" si="6"/>
        <v>11138271514491.188</v>
      </c>
    </row>
    <row r="10" spans="1:24" x14ac:dyDescent="0.2">
      <c r="A10">
        <f t="shared" si="7"/>
        <v>9</v>
      </c>
      <c r="B10">
        <f>3000/50</f>
        <v>60</v>
      </c>
      <c r="C10">
        <f t="shared" si="8"/>
        <v>9000</v>
      </c>
      <c r="E10" t="s">
        <v>1</v>
      </c>
      <c r="F10">
        <v>51.646226710000001</v>
      </c>
      <c r="G10">
        <v>43.429000000000002</v>
      </c>
      <c r="H10">
        <f t="shared" si="0"/>
        <v>1.1892105899283889</v>
      </c>
      <c r="I10">
        <v>502.01586959999997</v>
      </c>
      <c r="J10">
        <f t="shared" si="1"/>
        <v>422.14211162568779</v>
      </c>
      <c r="K10" s="1">
        <v>2.61E-6</v>
      </c>
      <c r="L10" s="1">
        <f t="shared" si="2"/>
        <v>185853.67307618953</v>
      </c>
      <c r="M10" s="1">
        <f t="shared" si="3"/>
        <v>1628078176.1474204</v>
      </c>
      <c r="N10">
        <f t="shared" si="4"/>
        <v>10868351.773489507</v>
      </c>
      <c r="O10">
        <v>1.5206812649999999</v>
      </c>
      <c r="P10" s="1">
        <f t="shared" si="5"/>
        <v>2019923097387.1436</v>
      </c>
      <c r="Q10" s="1">
        <f t="shared" si="6"/>
        <v>1328301429022.4346</v>
      </c>
    </row>
    <row r="11" spans="1:24" x14ac:dyDescent="0.2">
      <c r="A11">
        <f t="shared" si="7"/>
        <v>10</v>
      </c>
      <c r="B11">
        <f>3000/49</f>
        <v>61.224489795918366</v>
      </c>
      <c r="C11">
        <f t="shared" si="8"/>
        <v>10000</v>
      </c>
      <c r="E11" t="s">
        <v>1</v>
      </c>
      <c r="F11">
        <v>51.735691209999999</v>
      </c>
      <c r="G11">
        <v>43.429000000000002</v>
      </c>
      <c r="H11">
        <f t="shared" si="0"/>
        <v>1.191270607428216</v>
      </c>
      <c r="I11">
        <v>502.01586959999997</v>
      </c>
      <c r="J11">
        <f t="shared" si="1"/>
        <v>421.4121178426293</v>
      </c>
      <c r="K11" s="1">
        <v>2.5900000000000002E-6</v>
      </c>
      <c r="L11" s="1">
        <f t="shared" si="2"/>
        <v>187938.26309728957</v>
      </c>
      <c r="M11" s="1">
        <f t="shared" si="3"/>
        <v>1646339184.7322567</v>
      </c>
      <c r="N11">
        <f t="shared" si="4"/>
        <v>10570799.913756974</v>
      </c>
      <c r="O11">
        <v>1.277372263</v>
      </c>
      <c r="P11" s="1">
        <f t="shared" si="5"/>
        <v>1986657775340.4641</v>
      </c>
      <c r="Q11" s="1">
        <f t="shared" si="6"/>
        <v>1555269229562.4585</v>
      </c>
    </row>
    <row r="12" spans="1:24" x14ac:dyDescent="0.2">
      <c r="A12">
        <f t="shared" si="7"/>
        <v>11</v>
      </c>
      <c r="B12">
        <f>3000/46</f>
        <v>65.217391304347828</v>
      </c>
      <c r="C12">
        <f t="shared" si="8"/>
        <v>11000</v>
      </c>
      <c r="E12" t="s">
        <v>1</v>
      </c>
      <c r="F12">
        <v>53.799706209999997</v>
      </c>
      <c r="G12">
        <v>43.429000000000002</v>
      </c>
      <c r="H12">
        <f t="shared" si="0"/>
        <v>1.2387967996039511</v>
      </c>
      <c r="I12">
        <v>334.28426459999997</v>
      </c>
      <c r="J12">
        <f t="shared" si="1"/>
        <v>269.84592203246905</v>
      </c>
      <c r="K12" s="1">
        <v>2.3199999999999998E-6</v>
      </c>
      <c r="L12" s="1">
        <f t="shared" si="2"/>
        <v>226885.26128154492</v>
      </c>
      <c r="M12" s="1">
        <f t="shared" si="3"/>
        <v>1987514888.8263335</v>
      </c>
      <c r="N12">
        <f t="shared" si="4"/>
        <v>33189.052602535223</v>
      </c>
      <c r="O12">
        <v>0.88199513399999996</v>
      </c>
      <c r="P12" s="1">
        <f t="shared" si="5"/>
        <v>7530106871.4131422</v>
      </c>
      <c r="Q12" s="1">
        <f t="shared" si="6"/>
        <v>8537583237.293849</v>
      </c>
    </row>
    <row r="13" spans="1:24" x14ac:dyDescent="0.2">
      <c r="A13">
        <f t="shared" si="7"/>
        <v>12</v>
      </c>
      <c r="B13">
        <f>3000/44</f>
        <v>68.181818181818187</v>
      </c>
      <c r="C13">
        <f t="shared" si="8"/>
        <v>12000</v>
      </c>
      <c r="E13" t="s">
        <v>1</v>
      </c>
      <c r="F13">
        <v>51.84286006</v>
      </c>
      <c r="G13">
        <v>43.429000000000002</v>
      </c>
      <c r="H13">
        <f t="shared" si="0"/>
        <v>1.1937382868590112</v>
      </c>
      <c r="I13">
        <v>753.90905290000001</v>
      </c>
      <c r="J13">
        <f t="shared" si="1"/>
        <v>631.55304743027136</v>
      </c>
      <c r="K13" s="1">
        <v>2.5799999999999999E-6</v>
      </c>
      <c r="L13" s="1">
        <f t="shared" si="2"/>
        <v>189449.14978565459</v>
      </c>
      <c r="M13" s="1">
        <f t="shared" si="3"/>
        <v>1659574552.1223342</v>
      </c>
      <c r="N13">
        <f t="shared" si="4"/>
        <v>31230686015.981716</v>
      </c>
      <c r="O13">
        <v>1.573905109</v>
      </c>
      <c r="P13" s="1">
        <f t="shared" si="5"/>
        <v>5916626912950468</v>
      </c>
      <c r="Q13" s="1">
        <f t="shared" si="6"/>
        <v>3759201796294866.5</v>
      </c>
    </row>
    <row r="14" spans="1:24" x14ac:dyDescent="0.2">
      <c r="A14">
        <f t="shared" si="7"/>
        <v>13</v>
      </c>
      <c r="B14">
        <f t="shared" ref="B14:B15" si="9">3000/43</f>
        <v>69.767441860465112</v>
      </c>
      <c r="C14">
        <f t="shared" si="8"/>
        <v>13000</v>
      </c>
      <c r="E14" t="s">
        <v>1</v>
      </c>
      <c r="F14">
        <v>52.663933460000003</v>
      </c>
      <c r="G14">
        <v>43.429000000000002</v>
      </c>
      <c r="H14">
        <f t="shared" si="0"/>
        <v>1.2126443956803057</v>
      </c>
      <c r="I14">
        <v>3039.5539570000001</v>
      </c>
      <c r="J14">
        <f t="shared" si="1"/>
        <v>2506.5501212288864</v>
      </c>
      <c r="K14" s="1">
        <v>2.4600000000000002E-6</v>
      </c>
      <c r="L14" s="1">
        <f t="shared" si="2"/>
        <v>205034.02667421743</v>
      </c>
      <c r="M14" s="1">
        <f t="shared" si="3"/>
        <v>1796098073.6661446</v>
      </c>
      <c r="N14">
        <f t="shared" si="4"/>
        <v>2.8848581643925618E+41</v>
      </c>
      <c r="O14">
        <v>1.513077859</v>
      </c>
      <c r="P14" s="1">
        <f t="shared" si="5"/>
        <v>5.9149408582939841E+46</v>
      </c>
      <c r="Q14" s="1">
        <f t="shared" si="6"/>
        <v>3.9092111639272779E+46</v>
      </c>
    </row>
    <row r="15" spans="1:24" x14ac:dyDescent="0.2">
      <c r="A15">
        <f t="shared" si="7"/>
        <v>14</v>
      </c>
      <c r="B15">
        <f t="shared" si="9"/>
        <v>69.767441860465112</v>
      </c>
      <c r="C15">
        <f t="shared" si="8"/>
        <v>14000</v>
      </c>
      <c r="E15" t="s">
        <v>1</v>
      </c>
      <c r="F15">
        <v>53.439151549999998</v>
      </c>
      <c r="G15">
        <v>43.429000000000002</v>
      </c>
      <c r="H15">
        <f t="shared" si="0"/>
        <v>1.2304946360726703</v>
      </c>
      <c r="I15">
        <v>3414.0307790000002</v>
      </c>
      <c r="J15">
        <f t="shared" si="1"/>
        <v>2774.5190258581306</v>
      </c>
      <c r="K15" s="1">
        <v>2.3599999999999999E-6</v>
      </c>
      <c r="L15" s="1">
        <f t="shared" si="2"/>
        <v>220060.23218027095</v>
      </c>
      <c r="M15" s="1">
        <f t="shared" si="3"/>
        <v>1927727633.8991735</v>
      </c>
      <c r="N15">
        <f t="shared" si="4"/>
        <v>7.6846856112635291E+45</v>
      </c>
      <c r="O15">
        <v>1.075881995</v>
      </c>
      <c r="P15" s="1">
        <f t="shared" si="5"/>
        <v>1.6910936998470397E+51</v>
      </c>
      <c r="Q15" s="1">
        <f t="shared" si="6"/>
        <v>1.5718208016363725E+51</v>
      </c>
    </row>
    <row r="16" spans="1:24" x14ac:dyDescent="0.2">
      <c r="A16">
        <f t="shared" si="7"/>
        <v>15</v>
      </c>
      <c r="B16">
        <f>3000/42</f>
        <v>71.428571428571431</v>
      </c>
      <c r="C16">
        <f t="shared" si="8"/>
        <v>15000</v>
      </c>
      <c r="E16" t="s">
        <v>1</v>
      </c>
      <c r="F16">
        <v>52.831471239999999</v>
      </c>
      <c r="G16">
        <v>43.429000000000002</v>
      </c>
      <c r="H16">
        <f t="shared" si="0"/>
        <v>1.2165021354394527</v>
      </c>
      <c r="I16">
        <v>3414.0307790000002</v>
      </c>
      <c r="J16">
        <f t="shared" si="1"/>
        <v>2806.4322121117411</v>
      </c>
      <c r="K16" s="1">
        <v>2.4399999999999999E-6</v>
      </c>
      <c r="L16" s="1">
        <f t="shared" si="2"/>
        <v>208031.95238375443</v>
      </c>
      <c r="M16" s="1">
        <f t="shared" si="3"/>
        <v>1822359902.8816888</v>
      </c>
      <c r="N16">
        <f t="shared" si="4"/>
        <v>2.5862577291772583E+46</v>
      </c>
      <c r="O16">
        <v>0.99604622899999995</v>
      </c>
      <c r="P16" s="1">
        <f t="shared" si="5"/>
        <v>5.3802424476832025E+51</v>
      </c>
      <c r="Q16" s="1">
        <f t="shared" si="6"/>
        <v>5.4015991336916176E+51</v>
      </c>
    </row>
    <row r="17" spans="1:17" x14ac:dyDescent="0.2">
      <c r="A17">
        <f t="shared" si="7"/>
        <v>16</v>
      </c>
      <c r="B17">
        <f>3000/41</f>
        <v>73.170731707317074</v>
      </c>
      <c r="C17">
        <f t="shared" si="8"/>
        <v>16000</v>
      </c>
      <c r="E17" t="s">
        <v>1</v>
      </c>
      <c r="F17">
        <v>55.8861931</v>
      </c>
      <c r="G17">
        <v>43.429000000000002</v>
      </c>
      <c r="H17">
        <f t="shared" si="0"/>
        <v>1.2868404315088995</v>
      </c>
      <c r="I17">
        <v>597.59067030000006</v>
      </c>
      <c r="J17">
        <f t="shared" si="1"/>
        <v>464.38599197515754</v>
      </c>
      <c r="K17" s="1">
        <v>2.0700000000000001E-6</v>
      </c>
      <c r="L17" s="1">
        <f t="shared" si="2"/>
        <v>274393.08965456119</v>
      </c>
      <c r="M17" s="1">
        <f t="shared" si="3"/>
        <v>2403683465.3739562</v>
      </c>
      <c r="N17">
        <f t="shared" si="4"/>
        <v>54177705.817629158</v>
      </c>
      <c r="O17">
        <v>0.96183090000000004</v>
      </c>
      <c r="P17" s="1">
        <f t="shared" si="5"/>
        <v>14865988089695.158</v>
      </c>
      <c r="Q17" s="1">
        <f t="shared" si="6"/>
        <v>15455926909496.418</v>
      </c>
    </row>
    <row r="18" spans="1:17" x14ac:dyDescent="0.2">
      <c r="A18">
        <f t="shared" si="7"/>
        <v>17</v>
      </c>
      <c r="B18">
        <f>3000/41</f>
        <v>73.170731707317074</v>
      </c>
      <c r="C18">
        <f t="shared" si="8"/>
        <v>17000</v>
      </c>
      <c r="E18" t="s">
        <v>1</v>
      </c>
      <c r="F18">
        <v>58.216676620000001</v>
      </c>
      <c r="G18">
        <v>43.429000000000002</v>
      </c>
      <c r="H18">
        <f t="shared" si="0"/>
        <v>1.3405023514241636</v>
      </c>
      <c r="I18">
        <v>502.01586959999997</v>
      </c>
      <c r="J18">
        <f t="shared" si="1"/>
        <v>374.4983133126571</v>
      </c>
      <c r="K18" s="1">
        <v>1.84E-6</v>
      </c>
      <c r="L18" s="1">
        <f t="shared" si="2"/>
        <v>334974.27613129525</v>
      </c>
      <c r="M18" s="1">
        <f t="shared" si="3"/>
        <v>2934374658.9101462</v>
      </c>
      <c r="N18">
        <f t="shared" si="4"/>
        <v>1775526.7292943057</v>
      </c>
      <c r="O18">
        <v>0.82496958600000003</v>
      </c>
      <c r="P18" s="1">
        <f t="shared" si="5"/>
        <v>594755780897.12622</v>
      </c>
      <c r="Q18" s="1">
        <f t="shared" si="6"/>
        <v>720942675936.57227</v>
      </c>
    </row>
    <row r="19" spans="1:17" x14ac:dyDescent="0.2">
      <c r="A19">
        <f t="shared" si="7"/>
        <v>18</v>
      </c>
      <c r="B19">
        <f>3000/40</f>
        <v>75</v>
      </c>
      <c r="C19">
        <f t="shared" si="8"/>
        <v>18000</v>
      </c>
      <c r="E19" t="s">
        <v>1</v>
      </c>
      <c r="F19">
        <v>58.7261782</v>
      </c>
      <c r="G19">
        <v>43.429000000000002</v>
      </c>
      <c r="H19">
        <f t="shared" si="0"/>
        <v>1.3522341799258559</v>
      </c>
      <c r="I19">
        <v>1428.3532270000001</v>
      </c>
      <c r="J19">
        <f t="shared" si="1"/>
        <v>1056.2913201013139</v>
      </c>
      <c r="K19" s="1">
        <v>1.79E-6</v>
      </c>
      <c r="L19" s="1">
        <f t="shared" si="2"/>
        <v>350384.51739351678</v>
      </c>
      <c r="M19" s="1">
        <f t="shared" si="3"/>
        <v>3069368372.3672071</v>
      </c>
      <c r="N19">
        <f t="shared" si="4"/>
        <v>3.2294343175111053E+17</v>
      </c>
      <c r="O19">
        <v>0.82877129000000005</v>
      </c>
      <c r="P19" s="1">
        <f t="shared" si="5"/>
        <v>1.1315437847951899E+23</v>
      </c>
      <c r="Q19" s="1">
        <f t="shared" si="6"/>
        <v>1.3653269586536834E+23</v>
      </c>
    </row>
    <row r="20" spans="1:17" x14ac:dyDescent="0.2">
      <c r="A20">
        <f t="shared" si="7"/>
        <v>19</v>
      </c>
      <c r="B20">
        <f>3000/39</f>
        <v>76.92307692307692</v>
      </c>
      <c r="C20">
        <f t="shared" si="8"/>
        <v>19000</v>
      </c>
      <c r="E20" t="s">
        <v>1</v>
      </c>
      <c r="F20">
        <v>53.462052790000001</v>
      </c>
      <c r="G20">
        <v>43.429000000000002</v>
      </c>
      <c r="H20">
        <f t="shared" si="0"/>
        <v>1.2310219620530061</v>
      </c>
      <c r="I20">
        <v>446.95095679999997</v>
      </c>
      <c r="J20">
        <f t="shared" si="1"/>
        <v>363.07309745685501</v>
      </c>
      <c r="K20" s="1">
        <v>2.3599999999999999E-6</v>
      </c>
      <c r="L20" s="1">
        <f t="shared" si="2"/>
        <v>220248.88532732785</v>
      </c>
      <c r="M20" s="1">
        <f t="shared" si="3"/>
        <v>1929380235.467392</v>
      </c>
      <c r="N20">
        <f t="shared" si="4"/>
        <v>1149846.7985366648</v>
      </c>
      <c r="O20">
        <v>1.524482968</v>
      </c>
      <c r="P20" s="1">
        <f t="shared" si="5"/>
        <v>253252475674.89694</v>
      </c>
      <c r="Q20" s="1">
        <f t="shared" si="6"/>
        <v>166123519246.09821</v>
      </c>
    </row>
    <row r="21" spans="1:17" x14ac:dyDescent="0.2">
      <c r="A21">
        <f t="shared" si="7"/>
        <v>20</v>
      </c>
      <c r="B21">
        <f>3000/39</f>
        <v>76.92307692307692</v>
      </c>
      <c r="C21">
        <f t="shared" si="8"/>
        <v>20000</v>
      </c>
      <c r="E21" t="s">
        <v>1</v>
      </c>
      <c r="F21">
        <v>53.956824279999999</v>
      </c>
      <c r="G21">
        <v>43.429000000000002</v>
      </c>
      <c r="H21">
        <f>F21/43.429</f>
        <v>1.2424146141978862</v>
      </c>
      <c r="I21">
        <v>1008.005486</v>
      </c>
      <c r="J21">
        <f t="shared" si="1"/>
        <v>811.3277761552871</v>
      </c>
      <c r="K21" s="1">
        <v>2.3E-6</v>
      </c>
      <c r="L21" s="1">
        <f t="shared" si="2"/>
        <v>230196.85531972238</v>
      </c>
      <c r="M21" s="1">
        <f t="shared" si="3"/>
        <v>2016524452.6007681</v>
      </c>
      <c r="N21">
        <f t="shared" si="4"/>
        <v>29077558272238.559</v>
      </c>
      <c r="O21">
        <v>1.1100973240000001</v>
      </c>
      <c r="P21" s="1">
        <f t="shared" si="5"/>
        <v>6.6935624746452961E+18</v>
      </c>
      <c r="Q21" s="1">
        <f t="shared" si="6"/>
        <v>6.0297077832117135E+18</v>
      </c>
    </row>
    <row r="22" spans="1:17" x14ac:dyDescent="0.2">
      <c r="A22">
        <f t="shared" si="7"/>
        <v>21</v>
      </c>
      <c r="B22">
        <f>3000/39</f>
        <v>76.92307692307692</v>
      </c>
      <c r="C22">
        <f t="shared" si="8"/>
        <v>21000</v>
      </c>
      <c r="E22" t="s">
        <v>1</v>
      </c>
      <c r="F22">
        <v>52.772719129999999</v>
      </c>
      <c r="G22">
        <v>43.429000000000002</v>
      </c>
      <c r="H22">
        <f t="shared" si="0"/>
        <v>1.2151493041516037</v>
      </c>
      <c r="I22">
        <v>1909.763363</v>
      </c>
      <c r="J22">
        <f t="shared" si="1"/>
        <v>1571.6285698187219</v>
      </c>
      <c r="K22" s="1">
        <v>2.4499999999999998E-6</v>
      </c>
      <c r="L22" s="1">
        <f t="shared" si="2"/>
        <v>206722.29639321775</v>
      </c>
      <c r="M22" s="1">
        <f t="shared" si="3"/>
        <v>1810887316.4045875</v>
      </c>
      <c r="N22">
        <f t="shared" si="4"/>
        <v>1.0469160643899381E+26</v>
      </c>
      <c r="O22">
        <v>1.0036496349999999</v>
      </c>
      <c r="P22" s="1">
        <f t="shared" si="5"/>
        <v>2.1642089296163783E+31</v>
      </c>
      <c r="Q22" s="1">
        <f t="shared" si="6"/>
        <v>2.1563390790416404E+31</v>
      </c>
    </row>
    <row r="23" spans="1:17" x14ac:dyDescent="0.2">
      <c r="A23">
        <f t="shared" si="7"/>
        <v>22</v>
      </c>
      <c r="B23">
        <f t="shared" ref="B23:B25" si="10">3000/38</f>
        <v>78.94736842105263</v>
      </c>
      <c r="C23">
        <f t="shared" si="8"/>
        <v>22000</v>
      </c>
      <c r="E23" t="s">
        <v>1</v>
      </c>
      <c r="F23">
        <v>54.985078289999997</v>
      </c>
      <c r="G23">
        <v>43.429000000000002</v>
      </c>
      <c r="H23">
        <f t="shared" si="0"/>
        <v>1.2660912820926109</v>
      </c>
      <c r="I23">
        <v>532.04238750000002</v>
      </c>
      <c r="J23">
        <f t="shared" si="1"/>
        <v>420.22435113891152</v>
      </c>
      <c r="K23" s="1">
        <v>2.1799999999999999E-6</v>
      </c>
      <c r="L23" s="1">
        <f t="shared" si="2"/>
        <v>252213.1133782948</v>
      </c>
      <c r="M23" s="1">
        <f t="shared" si="3"/>
        <v>2209386873.1938624</v>
      </c>
      <c r="N23">
        <f t="shared" si="4"/>
        <v>10103966.71203463</v>
      </c>
      <c r="O23">
        <v>0.90860705600000002</v>
      </c>
      <c r="P23" s="1">
        <f t="shared" si="5"/>
        <v>2548352901912.9067</v>
      </c>
      <c r="Q23" s="1">
        <f t="shared" si="6"/>
        <v>2804680951006.0713</v>
      </c>
    </row>
    <row r="24" spans="1:17" x14ac:dyDescent="0.2">
      <c r="A24">
        <f t="shared" si="7"/>
        <v>23</v>
      </c>
      <c r="B24">
        <f t="shared" si="10"/>
        <v>78.94736842105263</v>
      </c>
      <c r="C24">
        <f t="shared" si="8"/>
        <v>23000</v>
      </c>
      <c r="E24" t="s">
        <v>1</v>
      </c>
      <c r="F24">
        <v>56.687190530000002</v>
      </c>
      <c r="G24">
        <v>43.429000000000002</v>
      </c>
      <c r="H24">
        <f t="shared" si="0"/>
        <v>1.3052842692670796</v>
      </c>
      <c r="I24">
        <v>799.00177810000002</v>
      </c>
      <c r="J24">
        <f t="shared" si="1"/>
        <v>612.12855843933642</v>
      </c>
      <c r="K24" s="1">
        <v>1.99E-6</v>
      </c>
      <c r="L24" s="1">
        <f t="shared" si="2"/>
        <v>293664.36637862329</v>
      </c>
      <c r="M24" s="1">
        <f t="shared" si="3"/>
        <v>2572499849.4767399</v>
      </c>
      <c r="N24">
        <f t="shared" si="4"/>
        <v>14920605158.40716</v>
      </c>
      <c r="O24">
        <v>0.90480535299999998</v>
      </c>
      <c r="P24" s="1">
        <f t="shared" si="5"/>
        <v>4381650059829257</v>
      </c>
      <c r="Q24" s="1">
        <f t="shared" si="6"/>
        <v>4842643829748935</v>
      </c>
    </row>
    <row r="25" spans="1:17" x14ac:dyDescent="0.2">
      <c r="A25">
        <f t="shared" si="7"/>
        <v>24</v>
      </c>
      <c r="B25">
        <f t="shared" si="10"/>
        <v>78.94736842105263</v>
      </c>
      <c r="C25">
        <f t="shared" si="8"/>
        <v>24000</v>
      </c>
      <c r="E25" t="s">
        <v>1</v>
      </c>
      <c r="F25">
        <v>58.324100520000002</v>
      </c>
      <c r="G25">
        <v>43.429000000000002</v>
      </c>
      <c r="H25">
        <f t="shared" si="0"/>
        <v>1.3429759036588456</v>
      </c>
      <c r="I25">
        <v>597.59067030000006</v>
      </c>
      <c r="J25">
        <f t="shared" si="1"/>
        <v>444.97497585169276</v>
      </c>
      <c r="K25" s="1">
        <v>1.8300000000000001E-6</v>
      </c>
      <c r="L25" s="1">
        <f t="shared" si="2"/>
        <v>338048.85644166369</v>
      </c>
      <c r="M25" s="1">
        <f t="shared" si="3"/>
        <v>2961307982.4289742</v>
      </c>
      <c r="N25">
        <f t="shared" si="4"/>
        <v>25896914.837383237</v>
      </c>
      <c r="O25">
        <v>0.90860705600000002</v>
      </c>
      <c r="P25" s="1">
        <f t="shared" si="5"/>
        <v>8754422446144.5566</v>
      </c>
      <c r="Q25" s="1">
        <f t="shared" si="6"/>
        <v>9634992803912.9785</v>
      </c>
    </row>
    <row r="26" spans="1:17" x14ac:dyDescent="0.2">
      <c r="A26">
        <f t="shared" si="7"/>
        <v>25</v>
      </c>
      <c r="B26">
        <f>3000/38</f>
        <v>78.94736842105263</v>
      </c>
      <c r="C26">
        <f t="shared" si="8"/>
        <v>25000</v>
      </c>
      <c r="E26" t="s">
        <v>1</v>
      </c>
      <c r="F26">
        <v>58.44654525</v>
      </c>
      <c r="G26">
        <v>43.429000000000002</v>
      </c>
      <c r="H26">
        <f t="shared" si="0"/>
        <v>1.3457953268553271</v>
      </c>
      <c r="I26">
        <v>446.95095679999997</v>
      </c>
      <c r="J26">
        <f t="shared" si="1"/>
        <v>332.10916094082052</v>
      </c>
      <c r="K26" s="1">
        <v>1.81E-6</v>
      </c>
      <c r="L26" s="1">
        <f t="shared" si="2"/>
        <v>343220.7824267809</v>
      </c>
      <c r="M26" s="1">
        <f t="shared" si="3"/>
        <v>3006614054.0586009</v>
      </c>
      <c r="N26">
        <f t="shared" si="4"/>
        <v>354218.40721301676</v>
      </c>
      <c r="O26">
        <v>0.90480535299999998</v>
      </c>
      <c r="P26" s="1">
        <f t="shared" si="5"/>
        <v>121575118873.61971</v>
      </c>
      <c r="Q26" s="1">
        <f t="shared" si="6"/>
        <v>134366047316.72018</v>
      </c>
    </row>
    <row r="27" spans="1:17" x14ac:dyDescent="0.2">
      <c r="A27">
        <f t="shared" si="7"/>
        <v>26</v>
      </c>
      <c r="B27">
        <f t="shared" ref="B27:B30" si="11">3000/37</f>
        <v>81.081081081081081</v>
      </c>
      <c r="C27">
        <f t="shared" si="8"/>
        <v>26000</v>
      </c>
      <c r="E27" t="s">
        <v>1</v>
      </c>
      <c r="F27">
        <v>52.600064199999998</v>
      </c>
      <c r="G27">
        <v>43.429000000000002</v>
      </c>
      <c r="H27">
        <f t="shared" si="0"/>
        <v>1.2111737364433903</v>
      </c>
      <c r="I27">
        <v>473.68393809999998</v>
      </c>
      <c r="J27">
        <f t="shared" si="1"/>
        <v>391.09495512260037</v>
      </c>
      <c r="K27" s="1">
        <v>2.4700000000000001E-6</v>
      </c>
      <c r="L27" s="1">
        <f t="shared" si="2"/>
        <v>203708.92478082323</v>
      </c>
      <c r="M27" s="1">
        <f t="shared" si="3"/>
        <v>1784490181.0800116</v>
      </c>
      <c r="N27">
        <f t="shared" si="4"/>
        <v>3337493.7077683993</v>
      </c>
      <c r="O27">
        <v>1.3305961070000001</v>
      </c>
      <c r="P27" s="1">
        <f t="shared" si="5"/>
        <v>679877254672.26367</v>
      </c>
      <c r="Q27" s="1">
        <f t="shared" si="6"/>
        <v>510956894504.32434</v>
      </c>
    </row>
    <row r="28" spans="1:17" x14ac:dyDescent="0.2">
      <c r="A28">
        <f t="shared" si="7"/>
        <v>27</v>
      </c>
      <c r="B28">
        <f t="shared" si="11"/>
        <v>81.081081081081081</v>
      </c>
      <c r="C28">
        <f t="shared" si="8"/>
        <v>27000</v>
      </c>
      <c r="E28" t="s">
        <v>1</v>
      </c>
      <c r="F28">
        <v>53.503877099999997</v>
      </c>
      <c r="G28">
        <v>43.429000000000002</v>
      </c>
      <c r="H28">
        <f t="shared" si="0"/>
        <v>1.2319850123189573</v>
      </c>
      <c r="I28">
        <v>563.86484810000002</v>
      </c>
      <c r="J28">
        <f t="shared" si="1"/>
        <v>457.688074499089</v>
      </c>
      <c r="K28" s="1">
        <v>2.3599999999999999E-6</v>
      </c>
      <c r="L28" s="1">
        <f t="shared" si="2"/>
        <v>220593.62932561009</v>
      </c>
      <c r="M28" s="1">
        <f t="shared" si="3"/>
        <v>1932400192.8923445</v>
      </c>
      <c r="N28">
        <f t="shared" si="4"/>
        <v>41995680.603187047</v>
      </c>
      <c r="O28">
        <v>1.41803528</v>
      </c>
      <c r="P28" s="1">
        <f t="shared" si="5"/>
        <v>9263979600256.1562</v>
      </c>
      <c r="Q28" s="1">
        <f t="shared" si="6"/>
        <v>6532968347766.4648</v>
      </c>
    </row>
    <row r="29" spans="1:17" x14ac:dyDescent="0.2">
      <c r="A29">
        <f t="shared" si="7"/>
        <v>28</v>
      </c>
      <c r="B29">
        <f t="shared" si="11"/>
        <v>81.081081081081081</v>
      </c>
      <c r="C29">
        <f t="shared" si="8"/>
        <v>28000</v>
      </c>
      <c r="E29" t="s">
        <v>2</v>
      </c>
      <c r="F29">
        <v>18.34587458</v>
      </c>
      <c r="G29">
        <v>43.429000000000002</v>
      </c>
      <c r="H29">
        <f t="shared" si="0"/>
        <v>0.4224337327592162</v>
      </c>
      <c r="I29">
        <v>1801.9833349999999</v>
      </c>
      <c r="J29">
        <f t="shared" si="1"/>
        <v>4265.7183725124423</v>
      </c>
      <c r="K29" s="1">
        <v>6.3399999999999999E-7</v>
      </c>
      <c r="L29" s="1">
        <f t="shared" si="2"/>
        <v>96543.278691639614</v>
      </c>
      <c r="M29" s="1">
        <f t="shared" si="3"/>
        <v>845719121.338763</v>
      </c>
      <c r="N29">
        <f t="shared" si="4"/>
        <v>3.2565405272648677E+70</v>
      </c>
      <c r="O29">
        <v>8.0786192210000003</v>
      </c>
      <c r="P29" s="1">
        <f t="shared" si="5"/>
        <v>3.1439709969435112E+75</v>
      </c>
      <c r="Q29" s="1">
        <f t="shared" si="6"/>
        <v>3.8917182638970069E+74</v>
      </c>
    </row>
    <row r="30" spans="1:17" x14ac:dyDescent="0.2">
      <c r="A30">
        <f t="shared" si="7"/>
        <v>29</v>
      </c>
      <c r="B30">
        <f t="shared" si="11"/>
        <v>81.081081081081081</v>
      </c>
      <c r="C30">
        <f t="shared" si="8"/>
        <v>29000</v>
      </c>
      <c r="E30" t="s">
        <v>2</v>
      </c>
      <c r="F30">
        <v>19.59450137</v>
      </c>
      <c r="G30">
        <v>43.429000000000002</v>
      </c>
      <c r="H30">
        <f t="shared" si="0"/>
        <v>0.4511847238020677</v>
      </c>
      <c r="I30">
        <v>250.01841450000001</v>
      </c>
      <c r="J30">
        <f t="shared" si="1"/>
        <v>554.13758780025034</v>
      </c>
      <c r="K30" s="1">
        <v>5.1900000000000003E-7</v>
      </c>
      <c r="L30" s="1">
        <f t="shared" si="2"/>
        <v>134535.07834754413</v>
      </c>
      <c r="M30" s="1">
        <f t="shared" si="3"/>
        <v>1178527286.3244865</v>
      </c>
      <c r="N30">
        <f t="shared" si="4"/>
        <v>1644623914.4579904</v>
      </c>
      <c r="O30">
        <v>4.2883211680000004</v>
      </c>
      <c r="P30" s="1">
        <f t="shared" si="5"/>
        <v>221259607183850.44</v>
      </c>
      <c r="Q30" s="1">
        <f t="shared" si="6"/>
        <v>51595857333382.086</v>
      </c>
    </row>
    <row r="31" spans="1:17" x14ac:dyDescent="0.2">
      <c r="A31">
        <f t="shared" si="7"/>
        <v>30</v>
      </c>
      <c r="B31">
        <f>3000/37</f>
        <v>81.081081081081081</v>
      </c>
      <c r="C31">
        <f t="shared" si="8"/>
        <v>30000</v>
      </c>
      <c r="E31" t="s">
        <v>2</v>
      </c>
      <c r="F31">
        <v>17.88026035</v>
      </c>
      <c r="G31">
        <v>43.429000000000002</v>
      </c>
      <c r="H31">
        <f t="shared" si="0"/>
        <v>0.41171245826521446</v>
      </c>
      <c r="I31">
        <v>951.11735910000004</v>
      </c>
      <c r="J31">
        <f t="shared" si="1"/>
        <v>2310.1495716394256</v>
      </c>
      <c r="K31" s="1">
        <v>6.8299999999999996E-7</v>
      </c>
      <c r="L31" s="1">
        <f t="shared" si="2"/>
        <v>85125.844602839818</v>
      </c>
      <c r="M31" s="1">
        <f t="shared" si="3"/>
        <v>745702398.72087681</v>
      </c>
      <c r="N31">
        <f t="shared" si="4"/>
        <v>1.6465424147610268E+38</v>
      </c>
      <c r="O31">
        <v>9.9224452549999995</v>
      </c>
      <c r="P31" s="1">
        <f t="shared" si="5"/>
        <v>1.401633137309318E+43</v>
      </c>
      <c r="Q31" s="1">
        <f t="shared" si="6"/>
        <v>1.4125884308638778E+42</v>
      </c>
    </row>
    <row r="32" spans="1:17" x14ac:dyDescent="0.2">
      <c r="A32">
        <f t="shared" si="7"/>
        <v>31</v>
      </c>
      <c r="B32">
        <f>3000/36</f>
        <v>83.333333333333329</v>
      </c>
      <c r="C32">
        <f t="shared" si="8"/>
        <v>31000</v>
      </c>
      <c r="E32" t="s">
        <v>2</v>
      </c>
      <c r="F32">
        <v>16.843060439999999</v>
      </c>
      <c r="G32">
        <v>43.429000000000002</v>
      </c>
      <c r="H32">
        <f t="shared" si="0"/>
        <v>0.38782980128485567</v>
      </c>
      <c r="I32">
        <v>597.59067030000006</v>
      </c>
      <c r="J32">
        <f t="shared" si="1"/>
        <v>1540.8580473192619</v>
      </c>
      <c r="K32" s="1">
        <v>8.1100000000000005E-7</v>
      </c>
      <c r="L32" s="1">
        <f t="shared" si="2"/>
        <v>63614.427230918831</v>
      </c>
      <c r="M32" s="1">
        <f t="shared" si="3"/>
        <v>557262382.54284894</v>
      </c>
      <c r="N32">
        <f t="shared" si="4"/>
        <v>3.2489066898615406E+25</v>
      </c>
      <c r="O32">
        <v>14.67837591</v>
      </c>
      <c r="P32" s="1">
        <f t="shared" si="5"/>
        <v>2.0667733820224234E+30</v>
      </c>
      <c r="Q32" s="1">
        <f t="shared" si="6"/>
        <v>1.408039550625205E+29</v>
      </c>
    </row>
    <row r="33" spans="1:17" x14ac:dyDescent="0.2">
      <c r="A33">
        <f t="shared" si="7"/>
        <v>32</v>
      </c>
      <c r="B33">
        <f>3000/36</f>
        <v>83.333333333333329</v>
      </c>
      <c r="C33">
        <f t="shared" si="8"/>
        <v>32000</v>
      </c>
      <c r="E33" t="s">
        <v>2</v>
      </c>
      <c r="F33">
        <v>16.59316888</v>
      </c>
      <c r="G33">
        <v>43.429000000000002</v>
      </c>
      <c r="H33">
        <f t="shared" si="0"/>
        <v>0.38207577609431487</v>
      </c>
      <c r="I33">
        <v>532.04238750000002</v>
      </c>
      <c r="J33">
        <f t="shared" si="1"/>
        <v>1392.5048924553282</v>
      </c>
      <c r="K33" s="1">
        <v>8.4600000000000003E-7</v>
      </c>
      <c r="L33" s="1">
        <f t="shared" si="2"/>
        <v>59186.514475861768</v>
      </c>
      <c r="M33" s="1">
        <f t="shared" si="3"/>
        <v>518473866.80854911</v>
      </c>
      <c r="N33">
        <f t="shared" si="4"/>
        <v>1.1526237253380929E+23</v>
      </c>
      <c r="O33">
        <v>12.564628949999999</v>
      </c>
      <c r="P33" s="1">
        <f t="shared" si="5"/>
        <v>6.8219780804944761E+27</v>
      </c>
      <c r="Q33" s="1">
        <f t="shared" si="6"/>
        <v>5.429510181034416E+26</v>
      </c>
    </row>
    <row r="34" spans="1:17" x14ac:dyDescent="0.2">
      <c r="A34">
        <f t="shared" si="7"/>
        <v>33</v>
      </c>
      <c r="B34">
        <f>3000/36</f>
        <v>83.333333333333329</v>
      </c>
      <c r="C34">
        <f t="shared" si="8"/>
        <v>33000</v>
      </c>
      <c r="E34" t="s">
        <v>2</v>
      </c>
      <c r="F34">
        <v>17.580901149999999</v>
      </c>
      <c r="G34">
        <v>43.429000000000002</v>
      </c>
      <c r="H34">
        <f t="shared" si="0"/>
        <v>0.40481938681526164</v>
      </c>
      <c r="I34">
        <v>334.28426459999997</v>
      </c>
      <c r="J34">
        <f t="shared" si="1"/>
        <v>825.76150127056485</v>
      </c>
      <c r="K34" s="1">
        <v>7.1800000000000005E-7</v>
      </c>
      <c r="L34" s="1">
        <f t="shared" si="2"/>
        <v>78287.474133606069</v>
      </c>
      <c r="M34" s="1">
        <f t="shared" si="3"/>
        <v>685798273.41038918</v>
      </c>
      <c r="N34">
        <f t="shared" si="4"/>
        <v>50342020868262.859</v>
      </c>
      <c r="O34">
        <v>9.4510340629999998</v>
      </c>
      <c r="P34" s="1">
        <f t="shared" si="5"/>
        <v>3.9411496565575854E+18</v>
      </c>
      <c r="Q34" s="1">
        <f t="shared" si="6"/>
        <v>4.1700724283566528E+17</v>
      </c>
    </row>
    <row r="35" spans="1:17" x14ac:dyDescent="0.2">
      <c r="A35">
        <f t="shared" si="7"/>
        <v>34</v>
      </c>
      <c r="B35">
        <f>3000/35</f>
        <v>85.714285714285708</v>
      </c>
      <c r="C35">
        <f t="shared" si="8"/>
        <v>34000</v>
      </c>
      <c r="E35" t="s">
        <v>2</v>
      </c>
      <c r="F35">
        <v>17.638098920000001</v>
      </c>
      <c r="G35">
        <v>43.429000000000002</v>
      </c>
      <c r="H35">
        <f t="shared" si="0"/>
        <v>0.40613642773262104</v>
      </c>
      <c r="I35">
        <v>297.6174279</v>
      </c>
      <c r="J35">
        <f t="shared" si="1"/>
        <v>732.80160945310649</v>
      </c>
      <c r="K35" s="1">
        <v>7.1099999999999995E-7</v>
      </c>
      <c r="L35" s="1">
        <f t="shared" si="2"/>
        <v>79573.490422609262</v>
      </c>
      <c r="M35" s="1">
        <f t="shared" si="3"/>
        <v>697063776.1020571</v>
      </c>
      <c r="N35">
        <f t="shared" si="4"/>
        <v>1467910930503.8018</v>
      </c>
      <c r="O35">
        <v>8.7819343070000002</v>
      </c>
      <c r="P35" s="1">
        <f t="shared" si="5"/>
        <v>1.1680679636968771E+17</v>
      </c>
      <c r="Q35" s="1">
        <f t="shared" si="6"/>
        <v>1.3300805071677896E+16</v>
      </c>
    </row>
    <row r="36" spans="1:17" x14ac:dyDescent="0.2">
      <c r="A36">
        <f t="shared" si="7"/>
        <v>35</v>
      </c>
      <c r="B36">
        <f>3000/35</f>
        <v>85.714285714285708</v>
      </c>
      <c r="C36">
        <f t="shared" si="8"/>
        <v>35000</v>
      </c>
      <c r="E36" t="s">
        <v>2</v>
      </c>
      <c r="F36">
        <v>17.832321969999999</v>
      </c>
      <c r="G36">
        <v>43.429000000000002</v>
      </c>
      <c r="H36">
        <f t="shared" si="0"/>
        <v>0.41060862488199124</v>
      </c>
      <c r="I36">
        <v>473.68393809999998</v>
      </c>
      <c r="J36">
        <f t="shared" si="1"/>
        <v>1153.6141946266632</v>
      </c>
      <c r="K36" s="1">
        <v>6.8899999999999999E-7</v>
      </c>
      <c r="L36" s="1">
        <f t="shared" si="2"/>
        <v>83932.668925726524</v>
      </c>
      <c r="M36" s="1">
        <f t="shared" si="3"/>
        <v>735250179.78936434</v>
      </c>
      <c r="N36">
        <f t="shared" si="4"/>
        <v>1.3074105281680288E+19</v>
      </c>
      <c r="O36">
        <v>8.5918491479999997</v>
      </c>
      <c r="P36" s="1">
        <f t="shared" si="5"/>
        <v>1.0973445501073642E+24</v>
      </c>
      <c r="Q36" s="1">
        <f t="shared" si="6"/>
        <v>1.2771925242225683E+23</v>
      </c>
    </row>
    <row r="37" spans="1:17" x14ac:dyDescent="0.2">
      <c r="A37">
        <f t="shared" si="7"/>
        <v>36</v>
      </c>
      <c r="B37">
        <f>3000/35</f>
        <v>85.714285714285708</v>
      </c>
      <c r="C37">
        <f t="shared" si="8"/>
        <v>36000</v>
      </c>
      <c r="E37" t="s">
        <v>2</v>
      </c>
      <c r="F37">
        <v>18.43458189</v>
      </c>
      <c r="G37">
        <v>43.429000000000002</v>
      </c>
      <c r="H37">
        <f t="shared" si="0"/>
        <v>0.42447631513504802</v>
      </c>
      <c r="I37">
        <v>502.01586959999997</v>
      </c>
      <c r="J37">
        <f t="shared" si="1"/>
        <v>1182.6710977744012</v>
      </c>
      <c r="K37" s="1">
        <v>6.2500000000000005E-7</v>
      </c>
      <c r="L37" s="1">
        <f t="shared" si="2"/>
        <v>98882.861990312973</v>
      </c>
      <c r="M37" s="1">
        <f t="shared" si="3"/>
        <v>866213871.03514159</v>
      </c>
      <c r="N37">
        <f t="shared" si="4"/>
        <v>3.9471734470109954E+19</v>
      </c>
      <c r="O37">
        <v>7.4019160580000003</v>
      </c>
      <c r="P37" s="1">
        <f t="shared" si="5"/>
        <v>3.903078072126162E+24</v>
      </c>
      <c r="Q37" s="1">
        <f t="shared" si="6"/>
        <v>5.2730644897110257E+23</v>
      </c>
    </row>
    <row r="38" spans="1:17" x14ac:dyDescent="0.2">
      <c r="A38">
        <f t="shared" si="7"/>
        <v>37</v>
      </c>
      <c r="B38">
        <f>3000/35</f>
        <v>85.714285714285708</v>
      </c>
      <c r="C38">
        <f t="shared" si="8"/>
        <v>37000</v>
      </c>
      <c r="E38" t="s">
        <v>2</v>
      </c>
      <c r="F38">
        <v>19.949333320000001</v>
      </c>
      <c r="G38">
        <v>43.429000000000002</v>
      </c>
      <c r="H38">
        <f t="shared" si="0"/>
        <v>0.459355115706095</v>
      </c>
      <c r="I38">
        <v>563.86484810000002</v>
      </c>
      <c r="J38">
        <f t="shared" si="1"/>
        <v>1227.5140274279051</v>
      </c>
      <c r="K38" s="1">
        <v>4.9100000000000004E-7</v>
      </c>
      <c r="L38" s="1">
        <f t="shared" si="2"/>
        <v>147404.16080977282</v>
      </c>
      <c r="M38" s="1">
        <f t="shared" si="3"/>
        <v>1291260448.69361</v>
      </c>
      <c r="N38">
        <f t="shared" si="4"/>
        <v>2.1720328391287669E+20</v>
      </c>
      <c r="O38">
        <v>4.2503041359999996</v>
      </c>
      <c r="P38" s="1">
        <f t="shared" si="5"/>
        <v>3.2016667790304416E+25</v>
      </c>
      <c r="Q38" s="1">
        <f t="shared" si="6"/>
        <v>7.5327945403068495E+24</v>
      </c>
    </row>
    <row r="39" spans="1:17" x14ac:dyDescent="0.2">
      <c r="A39">
        <f t="shared" si="7"/>
        <v>38</v>
      </c>
      <c r="B39">
        <f>3000/35</f>
        <v>85.714285714285708</v>
      </c>
      <c r="C39">
        <f t="shared" si="8"/>
        <v>38000</v>
      </c>
      <c r="E39" t="s">
        <v>2</v>
      </c>
      <c r="F39">
        <v>20.248043880000001</v>
      </c>
      <c r="G39">
        <v>43.429000000000002</v>
      </c>
      <c r="H39">
        <f t="shared" si="0"/>
        <v>0.46623325151396533</v>
      </c>
      <c r="I39">
        <v>633.33369760000005</v>
      </c>
      <c r="J39">
        <f t="shared" si="1"/>
        <v>1358.4052521852991</v>
      </c>
      <c r="K39" s="1">
        <v>4.6800000000000001E-7</v>
      </c>
      <c r="L39" s="1">
        <f t="shared" si="2"/>
        <v>159314.29823147133</v>
      </c>
      <c r="M39" s="1">
        <f t="shared" si="3"/>
        <v>1395593252.5076888</v>
      </c>
      <c r="N39">
        <f t="shared" si="4"/>
        <v>3.1516110112187251E+22</v>
      </c>
      <c r="O39">
        <v>3.3416970799999999</v>
      </c>
      <c r="P39" s="1">
        <f t="shared" si="5"/>
        <v>5.0209669655088896E+27</v>
      </c>
      <c r="Q39" s="1">
        <f t="shared" si="6"/>
        <v>1.5025200804583069E+27</v>
      </c>
    </row>
    <row r="40" spans="1:17" x14ac:dyDescent="0.2">
      <c r="A40">
        <f t="shared" si="7"/>
        <v>39</v>
      </c>
      <c r="B40">
        <f>3000/34</f>
        <v>88.235294117647058</v>
      </c>
      <c r="C40">
        <f t="shared" si="8"/>
        <v>39000</v>
      </c>
      <c r="E40" t="s">
        <v>2</v>
      </c>
      <c r="F40">
        <v>20.491341330000001</v>
      </c>
      <c r="G40">
        <v>43.429000000000002</v>
      </c>
      <c r="H40">
        <f t="shared" si="0"/>
        <v>0.47183544014368278</v>
      </c>
      <c r="I40">
        <v>633.33369760000005</v>
      </c>
      <c r="J40">
        <f t="shared" si="1"/>
        <v>1342.2766577413897</v>
      </c>
      <c r="K40" s="1">
        <v>4.4999999999999998E-7</v>
      </c>
      <c r="L40" s="1">
        <f t="shared" si="2"/>
        <v>169692.5291631665</v>
      </c>
      <c r="M40" s="1">
        <f t="shared" si="3"/>
        <v>1486506555.4693387</v>
      </c>
      <c r="N40">
        <f t="shared" si="4"/>
        <v>1.7067470547562153E+22</v>
      </c>
      <c r="O40">
        <v>2.0453163019999998</v>
      </c>
      <c r="P40" s="1">
        <f t="shared" si="5"/>
        <v>2.8962222436336763E+27</v>
      </c>
      <c r="Q40" s="1">
        <f t="shared" si="6"/>
        <v>1.4160265777970985E+27</v>
      </c>
    </row>
    <row r="41" spans="1:17" x14ac:dyDescent="0.2">
      <c r="A41">
        <f t="shared" si="7"/>
        <v>40</v>
      </c>
      <c r="B41">
        <f>3000/33</f>
        <v>90.909090909090907</v>
      </c>
      <c r="C41">
        <f t="shared" si="8"/>
        <v>40000</v>
      </c>
      <c r="E41" t="s">
        <v>2</v>
      </c>
      <c r="F41">
        <v>16.257673879999999</v>
      </c>
      <c r="G41">
        <v>43.429000000000002</v>
      </c>
      <c r="H41">
        <f t="shared" si="0"/>
        <v>0.3743506385134357</v>
      </c>
      <c r="I41">
        <v>532.04238750000002</v>
      </c>
      <c r="J41">
        <f t="shared" si="1"/>
        <v>1421.2407640408089</v>
      </c>
      <c r="K41" s="1">
        <v>8.9500000000000001E-7</v>
      </c>
      <c r="L41" s="1">
        <f t="shared" si="2"/>
        <v>53706.671944701724</v>
      </c>
      <c r="M41" s="1">
        <f t="shared" si="3"/>
        <v>470470446.23558712</v>
      </c>
      <c r="N41">
        <f t="shared" si="4"/>
        <v>3.4376365402075478E+23</v>
      </c>
      <c r="O41">
        <v>12.72810219</v>
      </c>
      <c r="P41" s="1">
        <f t="shared" si="5"/>
        <v>1.8462401793004622E+28</v>
      </c>
      <c r="Q41" s="1">
        <f t="shared" si="6"/>
        <v>1.4505227501637951E+27</v>
      </c>
    </row>
    <row r="42" spans="1:17" x14ac:dyDescent="0.2">
      <c r="A42">
        <f t="shared" si="7"/>
        <v>41</v>
      </c>
      <c r="B42">
        <f>3000/33</f>
        <v>90.909090909090907</v>
      </c>
      <c r="C42">
        <f t="shared" si="8"/>
        <v>41000</v>
      </c>
      <c r="E42" t="s">
        <v>2</v>
      </c>
      <c r="F42">
        <v>16.335043590000002</v>
      </c>
      <c r="G42">
        <v>43.429000000000002</v>
      </c>
      <c r="H42">
        <f t="shared" si="0"/>
        <v>0.37613216030762858</v>
      </c>
      <c r="I42">
        <v>473.68393809999998</v>
      </c>
      <c r="J42">
        <f t="shared" si="1"/>
        <v>1259.3550567773475</v>
      </c>
      <c r="K42" s="1">
        <v>8.8299999999999995E-7</v>
      </c>
      <c r="L42" s="1">
        <f t="shared" si="2"/>
        <v>54955.903615023199</v>
      </c>
      <c r="M42" s="1">
        <f t="shared" si="3"/>
        <v>481413715.66760319</v>
      </c>
      <c r="N42">
        <f t="shared" si="4"/>
        <v>7.2898805805809664E+20</v>
      </c>
      <c r="O42">
        <v>12.11222628</v>
      </c>
      <c r="P42" s="1">
        <f t="shared" si="5"/>
        <v>4.0062197455143694E+25</v>
      </c>
      <c r="Q42" s="1">
        <f t="shared" si="6"/>
        <v>3.3075833070667908E+24</v>
      </c>
    </row>
    <row r="43" spans="1:17" x14ac:dyDescent="0.2">
      <c r="A43">
        <f t="shared" si="7"/>
        <v>42</v>
      </c>
      <c r="B43">
        <f>3000/32</f>
        <v>93.75</v>
      </c>
      <c r="C43">
        <f t="shared" si="8"/>
        <v>42000</v>
      </c>
      <c r="E43" t="s">
        <v>2</v>
      </c>
      <c r="F43">
        <v>16.481850699999999</v>
      </c>
      <c r="G43">
        <v>43.429000000000002</v>
      </c>
      <c r="H43">
        <f t="shared" si="0"/>
        <v>0.37951255382348198</v>
      </c>
      <c r="I43">
        <v>446.95095679999997</v>
      </c>
      <c r="J43">
        <f t="shared" si="1"/>
        <v>1177.6974234372358</v>
      </c>
      <c r="K43" s="1">
        <v>8.6199999999999996E-7</v>
      </c>
      <c r="L43" s="1">
        <f t="shared" si="2"/>
        <v>57311.153165661388</v>
      </c>
      <c r="M43" s="1">
        <f t="shared" si="3"/>
        <v>502045701.73119378</v>
      </c>
      <c r="N43">
        <f t="shared" si="4"/>
        <v>3.2669769355274912E+19</v>
      </c>
      <c r="O43">
        <v>11.55337591</v>
      </c>
      <c r="P43" s="1">
        <f t="shared" si="5"/>
        <v>1.8723421554069913E+24</v>
      </c>
      <c r="Q43" s="1">
        <f t="shared" si="6"/>
        <v>1.6206017790751441E+23</v>
      </c>
    </row>
    <row r="44" spans="1:17" x14ac:dyDescent="0.2">
      <c r="A44">
        <f t="shared" si="7"/>
        <v>43</v>
      </c>
      <c r="B44">
        <f>3000/32</f>
        <v>93.75</v>
      </c>
      <c r="C44">
        <f t="shared" si="8"/>
        <v>43000</v>
      </c>
      <c r="E44" t="s">
        <v>2</v>
      </c>
      <c r="F44">
        <v>16.095517470000001</v>
      </c>
      <c r="G44">
        <v>43.429000000000002</v>
      </c>
      <c r="H44">
        <f t="shared" si="0"/>
        <v>0.37061681065647378</v>
      </c>
      <c r="I44">
        <v>397.92598170000002</v>
      </c>
      <c r="J44">
        <f t="shared" si="1"/>
        <v>1073.6857321586506</v>
      </c>
      <c r="K44" s="1">
        <v>9.2099999999999995E-7</v>
      </c>
      <c r="L44" s="1">
        <f t="shared" si="2"/>
        <v>51154.603015226458</v>
      </c>
      <c r="M44" s="1">
        <f t="shared" si="3"/>
        <v>448114322.41338378</v>
      </c>
      <c r="N44">
        <f t="shared" si="4"/>
        <v>6.2574135485535526E+17</v>
      </c>
      <c r="O44">
        <v>14.55672141</v>
      </c>
      <c r="P44" s="1">
        <f t="shared" si="5"/>
        <v>3.2009550597835645E+22</v>
      </c>
      <c r="Q44" s="1">
        <f t="shared" si="6"/>
        <v>2.1989533011084564E+21</v>
      </c>
    </row>
    <row r="45" spans="1:17" x14ac:dyDescent="0.2">
      <c r="A45">
        <f t="shared" si="7"/>
        <v>44</v>
      </c>
      <c r="B45">
        <f>3000/32</f>
        <v>93.75</v>
      </c>
      <c r="C45">
        <f t="shared" si="8"/>
        <v>44000</v>
      </c>
      <c r="E45" t="s">
        <v>2</v>
      </c>
      <c r="F45">
        <v>16.535025489999999</v>
      </c>
      <c r="G45">
        <v>43.429000000000002</v>
      </c>
      <c r="H45">
        <f t="shared" si="0"/>
        <v>0.38073696124709289</v>
      </c>
      <c r="I45">
        <v>532.04238750000002</v>
      </c>
      <c r="J45">
        <f t="shared" si="1"/>
        <v>1397.4014651934779</v>
      </c>
      <c r="K45" s="1">
        <v>8.54E-7</v>
      </c>
      <c r="L45" s="1">
        <f t="shared" si="2"/>
        <v>58221.89384691677</v>
      </c>
      <c r="M45" s="1">
        <f t="shared" si="3"/>
        <v>510023790.09899092</v>
      </c>
      <c r="N45">
        <f t="shared" si="4"/>
        <v>1.3885271163105414E+23</v>
      </c>
      <c r="O45">
        <v>9.2343369830000004</v>
      </c>
      <c r="P45" s="1">
        <f t="shared" si="5"/>
        <v>8.0842678369397791E+27</v>
      </c>
      <c r="Q45" s="1">
        <f t="shared" si="6"/>
        <v>8.7545731240072277E+26</v>
      </c>
    </row>
    <row r="46" spans="1:17" x14ac:dyDescent="0.2">
      <c r="A46">
        <f t="shared" si="7"/>
        <v>45</v>
      </c>
      <c r="B46">
        <f t="shared" ref="B46:B50" si="12">3000/31</f>
        <v>96.774193548387103</v>
      </c>
      <c r="C46">
        <f t="shared" si="8"/>
        <v>45000</v>
      </c>
      <c r="E46" t="s">
        <v>2</v>
      </c>
      <c r="F46">
        <v>16.948318449999999</v>
      </c>
      <c r="G46">
        <v>43.429000000000002</v>
      </c>
      <c r="H46">
        <f t="shared" si="0"/>
        <v>0.39025348154459</v>
      </c>
      <c r="I46">
        <v>397.92598170000002</v>
      </c>
      <c r="J46">
        <f t="shared" si="1"/>
        <v>1019.6602990575328</v>
      </c>
      <c r="K46" s="1">
        <v>7.9699999999999995E-7</v>
      </c>
      <c r="L46" s="1">
        <f t="shared" si="2"/>
        <v>65543.461093076621</v>
      </c>
      <c r="M46" s="1">
        <f t="shared" si="3"/>
        <v>574160719.17535114</v>
      </c>
      <c r="N46">
        <f t="shared" si="4"/>
        <v>8.0198418187376416E+16</v>
      </c>
      <c r="O46">
        <v>8.9111922139999997</v>
      </c>
      <c r="P46" s="1">
        <f t="shared" si="5"/>
        <v>5.2564819021905946E+21</v>
      </c>
      <c r="Q46" s="1">
        <f t="shared" si="6"/>
        <v>5.8987414657405288E+20</v>
      </c>
    </row>
    <row r="47" spans="1:17" x14ac:dyDescent="0.2">
      <c r="A47">
        <f t="shared" si="7"/>
        <v>46</v>
      </c>
      <c r="B47">
        <f t="shared" si="12"/>
        <v>96.774193548387103</v>
      </c>
      <c r="C47">
        <f t="shared" si="8"/>
        <v>46000</v>
      </c>
      <c r="E47" t="s">
        <v>2</v>
      </c>
      <c r="F47">
        <v>16.591389549999999</v>
      </c>
      <c r="G47">
        <v>43.429000000000002</v>
      </c>
      <c r="H47">
        <f t="shared" si="0"/>
        <v>0.38203480508416032</v>
      </c>
      <c r="I47">
        <v>473.68393809999998</v>
      </c>
      <c r="J47">
        <f t="shared" si="1"/>
        <v>1239.8973386617217</v>
      </c>
      <c r="K47" s="1">
        <v>8.4600000000000003E-7</v>
      </c>
      <c r="L47" s="1">
        <f t="shared" si="2"/>
        <v>59173.821699080952</v>
      </c>
      <c r="M47" s="1">
        <f t="shared" si="3"/>
        <v>518362678.08394915</v>
      </c>
      <c r="N47">
        <f t="shared" si="4"/>
        <v>3.4783761878812852E+20</v>
      </c>
      <c r="O47">
        <v>10.26840024</v>
      </c>
      <c r="P47" s="1">
        <f t="shared" si="5"/>
        <v>2.0582881234401608E+25</v>
      </c>
      <c r="Q47" s="1">
        <f t="shared" si="6"/>
        <v>2.0044876274127008E+24</v>
      </c>
    </row>
    <row r="48" spans="1:17" x14ac:dyDescent="0.2">
      <c r="A48">
        <f t="shared" si="7"/>
        <v>47</v>
      </c>
      <c r="B48">
        <f t="shared" si="12"/>
        <v>96.774193548387103</v>
      </c>
      <c r="C48">
        <f t="shared" si="8"/>
        <v>47000</v>
      </c>
      <c r="E48" t="s">
        <v>2</v>
      </c>
      <c r="F48">
        <v>16.133865310000001</v>
      </c>
      <c r="G48">
        <v>43.429000000000002</v>
      </c>
      <c r="H48">
        <f t="shared" si="0"/>
        <v>0.3714998114163347</v>
      </c>
      <c r="I48">
        <v>473.68393809999998</v>
      </c>
      <c r="J48">
        <f t="shared" si="1"/>
        <v>1275.0583541189176</v>
      </c>
      <c r="K48" s="1">
        <v>9.1500000000000003E-7</v>
      </c>
      <c r="L48" s="1">
        <f t="shared" si="2"/>
        <v>51735.687092517692</v>
      </c>
      <c r="M48" s="1">
        <f t="shared" si="3"/>
        <v>453204618.93045497</v>
      </c>
      <c r="N48">
        <f t="shared" si="4"/>
        <v>1.3245247778736772E+21</v>
      </c>
      <c r="O48">
        <v>12.36313869</v>
      </c>
      <c r="P48" s="1">
        <f t="shared" si="5"/>
        <v>6.8525199454359069E+25</v>
      </c>
      <c r="Q48" s="1">
        <f t="shared" si="6"/>
        <v>5.5427024781163457E+24</v>
      </c>
    </row>
    <row r="49" spans="1:17" x14ac:dyDescent="0.2">
      <c r="A49">
        <f t="shared" si="7"/>
        <v>48</v>
      </c>
      <c r="B49">
        <f t="shared" si="12"/>
        <v>96.774193548387103</v>
      </c>
      <c r="C49">
        <f t="shared" si="8"/>
        <v>48000</v>
      </c>
      <c r="E49" t="s">
        <v>2</v>
      </c>
      <c r="F49">
        <v>16.041576719999998</v>
      </c>
      <c r="G49">
        <v>43.429000000000002</v>
      </c>
      <c r="H49">
        <f t="shared" si="0"/>
        <v>0.36937476617007065</v>
      </c>
      <c r="I49">
        <v>421.72668670000002</v>
      </c>
      <c r="J49">
        <f t="shared" si="1"/>
        <v>1141.7311774508848</v>
      </c>
      <c r="K49" s="1">
        <v>9.2900000000000002E-7</v>
      </c>
      <c r="L49" s="1">
        <f t="shared" si="2"/>
        <v>50374.744062363476</v>
      </c>
      <c r="M49" s="1">
        <f t="shared" si="3"/>
        <v>441282757.98630404</v>
      </c>
      <c r="N49">
        <f t="shared" si="4"/>
        <v>8.3207823664673946E+18</v>
      </c>
      <c r="O49">
        <v>12.823144770000001</v>
      </c>
      <c r="P49" s="1">
        <f t="shared" si="5"/>
        <v>4.191572821094221E+23</v>
      </c>
      <c r="Q49" s="1">
        <f t="shared" si="6"/>
        <v>3.2687557508517631E+22</v>
      </c>
    </row>
    <row r="50" spans="1:17" x14ac:dyDescent="0.2">
      <c r="A50">
        <f t="shared" si="7"/>
        <v>49</v>
      </c>
      <c r="B50">
        <f t="shared" si="12"/>
        <v>96.774193548387103</v>
      </c>
      <c r="C50">
        <f t="shared" si="8"/>
        <v>49000</v>
      </c>
      <c r="E50" t="s">
        <v>2</v>
      </c>
      <c r="F50">
        <v>16.034397169999998</v>
      </c>
      <c r="G50">
        <v>43.429000000000002</v>
      </c>
      <c r="H50">
        <f t="shared" si="0"/>
        <v>0.3692094492159616</v>
      </c>
      <c r="I50">
        <v>446.95095679999997</v>
      </c>
      <c r="J50">
        <f t="shared" si="1"/>
        <v>1210.5620745870051</v>
      </c>
      <c r="K50" s="1">
        <v>9.2999999999999999E-7</v>
      </c>
      <c r="L50" s="1">
        <f t="shared" si="2"/>
        <v>50275.544908485295</v>
      </c>
      <c r="M50" s="1">
        <f t="shared" si="3"/>
        <v>440413773.39833117</v>
      </c>
      <c r="N50">
        <f t="shared" si="4"/>
        <v>1.1400008913486237E+20</v>
      </c>
      <c r="O50">
        <v>12.800334550000001</v>
      </c>
      <c r="P50" s="1">
        <f t="shared" si="5"/>
        <v>5.7314166008710997E+24</v>
      </c>
      <c r="Q50" s="1">
        <f t="shared" si="6"/>
        <v>4.4775521909082441E+23</v>
      </c>
    </row>
    <row r="51" spans="1:17" x14ac:dyDescent="0.2">
      <c r="A51">
        <f t="shared" si="7"/>
        <v>50</v>
      </c>
      <c r="B51">
        <f>3000/31</f>
        <v>96.774193548387103</v>
      </c>
      <c r="C51">
        <f t="shared" si="8"/>
        <v>50000</v>
      </c>
      <c r="E51" t="s">
        <v>2</v>
      </c>
      <c r="F51">
        <v>16.07973874</v>
      </c>
      <c r="G51">
        <v>43.429000000000002</v>
      </c>
      <c r="H51">
        <f t="shared" si="0"/>
        <v>0.3702534882221557</v>
      </c>
      <c r="I51">
        <v>354.27843819999998</v>
      </c>
      <c r="J51">
        <f t="shared" si="1"/>
        <v>956.85374876854496</v>
      </c>
      <c r="K51" s="1">
        <v>9.2299999999999999E-7</v>
      </c>
      <c r="L51" s="1">
        <f t="shared" si="2"/>
        <v>50943.729599622086</v>
      </c>
      <c r="M51" s="1">
        <f t="shared" si="3"/>
        <v>446267071.29268944</v>
      </c>
      <c r="N51">
        <f t="shared" si="4"/>
        <v>7360659947134113</v>
      </c>
      <c r="O51">
        <v>12.252889290000001</v>
      </c>
      <c r="P51" s="1">
        <f t="shared" si="5"/>
        <v>3.7497947002156882E+20</v>
      </c>
      <c r="Q51" s="1">
        <f t="shared" si="6"/>
        <v>3.0603350862526956E+19</v>
      </c>
    </row>
    <row r="52" spans="1:17" x14ac:dyDescent="0.2">
      <c r="A52">
        <f t="shared" si="7"/>
        <v>51</v>
      </c>
      <c r="B52">
        <f t="shared" ref="B52:B55" si="13">3000/31</f>
        <v>96.774193548387103</v>
      </c>
      <c r="C52">
        <f t="shared" si="8"/>
        <v>51000</v>
      </c>
      <c r="E52" t="s">
        <v>2</v>
      </c>
      <c r="F52">
        <v>15.830656579999999</v>
      </c>
      <c r="G52">
        <v>43.429000000000002</v>
      </c>
      <c r="H52">
        <f t="shared" si="0"/>
        <v>0.36451810034769389</v>
      </c>
      <c r="I52">
        <v>563.86484810000002</v>
      </c>
      <c r="J52">
        <f t="shared" si="1"/>
        <v>1546.8775009036867</v>
      </c>
      <c r="K52" s="1">
        <v>9.64E-7</v>
      </c>
      <c r="L52" s="1">
        <f t="shared" si="2"/>
        <v>47277.584854786677</v>
      </c>
      <c r="M52" s="1">
        <f t="shared" si="3"/>
        <v>414151643.32793128</v>
      </c>
      <c r="N52">
        <f t="shared" si="4"/>
        <v>4.0845894006460286E+25</v>
      </c>
      <c r="O52">
        <v>14.04349148</v>
      </c>
      <c r="P52" s="1">
        <f t="shared" si="5"/>
        <v>1.9310952198600488E+30</v>
      </c>
      <c r="Q52" s="1">
        <f t="shared" si="6"/>
        <v>1.3750819891265735E+29</v>
      </c>
    </row>
    <row r="53" spans="1:17" x14ac:dyDescent="0.2">
      <c r="A53">
        <f t="shared" si="7"/>
        <v>52</v>
      </c>
      <c r="B53">
        <f t="shared" si="13"/>
        <v>96.774193548387103</v>
      </c>
      <c r="C53">
        <f t="shared" si="8"/>
        <v>52000</v>
      </c>
      <c r="E53" t="s">
        <v>2</v>
      </c>
      <c r="F53">
        <v>15.23624805</v>
      </c>
      <c r="G53">
        <v>43.429000000000002</v>
      </c>
      <c r="H53">
        <f t="shared" si="0"/>
        <v>0.35083119689608327</v>
      </c>
      <c r="I53">
        <v>633.33369760000005</v>
      </c>
      <c r="J53">
        <f t="shared" si="1"/>
        <v>1805.2376846851348</v>
      </c>
      <c r="K53" s="1">
        <v>1.0699999999999999E-6</v>
      </c>
      <c r="L53" s="1">
        <f t="shared" si="2"/>
        <v>39455.427429373514</v>
      </c>
      <c r="M53" s="1">
        <f t="shared" si="3"/>
        <v>345629544.28131199</v>
      </c>
      <c r="N53">
        <f t="shared" si="4"/>
        <v>7.5502649711469884E+29</v>
      </c>
      <c r="O53">
        <v>18.37743309</v>
      </c>
      <c r="P53" s="1">
        <f t="shared" si="5"/>
        <v>2.978989316416309E+34</v>
      </c>
      <c r="Q53" s="1">
        <f t="shared" si="6"/>
        <v>1.62100403349438E+33</v>
      </c>
    </row>
    <row r="54" spans="1:17" x14ac:dyDescent="0.2">
      <c r="A54">
        <f t="shared" si="7"/>
        <v>53</v>
      </c>
      <c r="B54">
        <f t="shared" si="13"/>
        <v>96.774193548387103</v>
      </c>
      <c r="C54">
        <f t="shared" si="8"/>
        <v>53000</v>
      </c>
      <c r="E54" t="s">
        <v>2</v>
      </c>
      <c r="F54">
        <v>16.347436829999999</v>
      </c>
      <c r="G54">
        <v>43.429000000000002</v>
      </c>
      <c r="H54">
        <f t="shared" si="0"/>
        <v>0.37641752814939322</v>
      </c>
      <c r="I54">
        <v>421.72668670000002</v>
      </c>
      <c r="J54">
        <f t="shared" si="1"/>
        <v>1120.3694173684294</v>
      </c>
      <c r="K54" s="1">
        <v>8.8199999999999998E-7</v>
      </c>
      <c r="L54" s="1">
        <f t="shared" si="2"/>
        <v>55101.727138149705</v>
      </c>
      <c r="M54" s="1">
        <f t="shared" si="3"/>
        <v>482691129.73019141</v>
      </c>
      <c r="N54">
        <f t="shared" si="4"/>
        <v>3.692964046766891E+18</v>
      </c>
      <c r="O54">
        <v>12.57603406</v>
      </c>
      <c r="P54" s="1">
        <f t="shared" si="5"/>
        <v>2.0348869723594634E+23</v>
      </c>
      <c r="Q54" s="1">
        <f t="shared" si="6"/>
        <v>1.6180673196741196E+22</v>
      </c>
    </row>
    <row r="55" spans="1:17" x14ac:dyDescent="0.2">
      <c r="A55">
        <f t="shared" si="7"/>
        <v>54</v>
      </c>
      <c r="B55">
        <f t="shared" si="13"/>
        <v>96.774193548387103</v>
      </c>
      <c r="C55">
        <f t="shared" si="8"/>
        <v>54000</v>
      </c>
      <c r="E55" t="s">
        <v>2</v>
      </c>
      <c r="F55">
        <v>14.90878159</v>
      </c>
      <c r="G55">
        <v>43.429000000000002</v>
      </c>
      <c r="H55">
        <f t="shared" si="0"/>
        <v>0.34329092518823828</v>
      </c>
      <c r="I55">
        <v>1008.005486</v>
      </c>
      <c r="J55">
        <f t="shared" si="1"/>
        <v>2936.3009973167095</v>
      </c>
      <c r="K55" s="1">
        <v>1.1400000000000001E-6</v>
      </c>
      <c r="L55" s="1">
        <f t="shared" si="2"/>
        <v>35457.973811923366</v>
      </c>
      <c r="M55" s="1">
        <f t="shared" si="3"/>
        <v>310611850.59244871</v>
      </c>
      <c r="N55">
        <f t="shared" si="4"/>
        <v>3.6095449362817217E+48</v>
      </c>
      <c r="O55">
        <v>16.92518248</v>
      </c>
      <c r="P55" s="1">
        <f t="shared" si="5"/>
        <v>1.2798714982363787E+53</v>
      </c>
      <c r="Q55" s="1">
        <f t="shared" si="6"/>
        <v>7.5619361844326697E+51</v>
      </c>
    </row>
    <row r="56" spans="1:17" x14ac:dyDescent="0.2">
      <c r="A56">
        <f t="shared" si="7"/>
        <v>55</v>
      </c>
      <c r="B56">
        <f>3000/31</f>
        <v>96.774193548387103</v>
      </c>
      <c r="C56">
        <f t="shared" si="8"/>
        <v>55000</v>
      </c>
      <c r="E56" t="s">
        <v>2</v>
      </c>
      <c r="F56">
        <v>14.84444276</v>
      </c>
      <c r="G56">
        <v>43.429000000000002</v>
      </c>
      <c r="H56">
        <f t="shared" si="0"/>
        <v>0.34180945359091847</v>
      </c>
      <c r="I56">
        <v>633.33369760000005</v>
      </c>
      <c r="J56">
        <f t="shared" si="1"/>
        <v>1852.8852579893276</v>
      </c>
      <c r="K56" s="1">
        <v>1.15E-6</v>
      </c>
      <c r="L56" s="1">
        <f t="shared" si="2"/>
        <v>34846.921721299077</v>
      </c>
      <c r="M56" s="1">
        <f t="shared" si="3"/>
        <v>305259034.27857989</v>
      </c>
      <c r="N56">
        <f t="shared" si="4"/>
        <v>4.6223306536839499E+30</v>
      </c>
      <c r="O56">
        <v>16.248479320000001</v>
      </c>
      <c r="P56" s="1">
        <f t="shared" si="5"/>
        <v>1.6107399445888579E+35</v>
      </c>
      <c r="Q56" s="1">
        <f t="shared" si="6"/>
        <v>9.9131734906799747E+33</v>
      </c>
    </row>
    <row r="57" spans="1:17" x14ac:dyDescent="0.2">
      <c r="A57">
        <f t="shared" si="7"/>
        <v>56</v>
      </c>
      <c r="B57">
        <f t="shared" ref="B57:B58" si="14">3000/31</f>
        <v>96.774193548387103</v>
      </c>
      <c r="C57">
        <f t="shared" si="8"/>
        <v>56000</v>
      </c>
      <c r="E57" t="s">
        <v>2</v>
      </c>
      <c r="F57">
        <v>16.097542990000001</v>
      </c>
      <c r="G57">
        <v>43.429000000000002</v>
      </c>
      <c r="H57">
        <f t="shared" si="0"/>
        <v>0.37066345045937049</v>
      </c>
      <c r="I57">
        <v>397.92598170000002</v>
      </c>
      <c r="J57">
        <f t="shared" si="1"/>
        <v>1073.5506325396868</v>
      </c>
      <c r="K57" s="1">
        <v>9.1999999999999998E-7</v>
      </c>
      <c r="L57" s="1">
        <f t="shared" si="2"/>
        <v>51223.09562251201</v>
      </c>
      <c r="M57" s="1">
        <f t="shared" si="3"/>
        <v>448714317.65320522</v>
      </c>
      <c r="N57">
        <f t="shared" si="4"/>
        <v>6.2253488124732838E+17</v>
      </c>
      <c r="O57">
        <v>11.138990270000001</v>
      </c>
      <c r="P57" s="1">
        <f t="shared" si="5"/>
        <v>3.1888163750481062E+22</v>
      </c>
      <c r="Q57" s="1">
        <f t="shared" si="6"/>
        <v>2.8627517375936321E+21</v>
      </c>
    </row>
    <row r="58" spans="1:17" x14ac:dyDescent="0.2">
      <c r="A58">
        <f t="shared" si="7"/>
        <v>57</v>
      </c>
      <c r="B58">
        <f t="shared" si="14"/>
        <v>96.774193548387103</v>
      </c>
      <c r="C58">
        <f t="shared" si="8"/>
        <v>57000</v>
      </c>
      <c r="E58" t="s">
        <v>2</v>
      </c>
      <c r="F58">
        <v>15.98532945</v>
      </c>
      <c r="G58">
        <v>43.429000000000002</v>
      </c>
      <c r="H58">
        <f t="shared" si="0"/>
        <v>0.368079611549886</v>
      </c>
      <c r="I58">
        <v>315.41848870000001</v>
      </c>
      <c r="J58">
        <f t="shared" si="1"/>
        <v>856.9300738279311</v>
      </c>
      <c r="K58" s="1">
        <v>9.3799999999999996E-7</v>
      </c>
      <c r="L58" s="1">
        <f t="shared" si="2"/>
        <v>49542.144936545024</v>
      </c>
      <c r="M58" s="1">
        <f t="shared" si="3"/>
        <v>433989189.6441344</v>
      </c>
      <c r="N58">
        <f t="shared" si="4"/>
        <v>164694486468030</v>
      </c>
      <c r="O58">
        <v>12.078010949999999</v>
      </c>
      <c r="P58" s="1">
        <f t="shared" si="5"/>
        <v>8.1593181188489953E+18</v>
      </c>
      <c r="Q58" s="1">
        <f t="shared" si="6"/>
        <v>6.7555147553902451E+17</v>
      </c>
    </row>
    <row r="59" spans="1:17" x14ac:dyDescent="0.2">
      <c r="A59">
        <f t="shared" si="7"/>
        <v>58</v>
      </c>
      <c r="B59">
        <f t="shared" ref="B59:B60" si="15">3000/30</f>
        <v>100</v>
      </c>
      <c r="C59">
        <f t="shared" si="8"/>
        <v>58000</v>
      </c>
      <c r="E59" t="s">
        <v>2</v>
      </c>
      <c r="F59">
        <v>15.695069370000001</v>
      </c>
      <c r="G59">
        <v>43.429000000000002</v>
      </c>
      <c r="H59">
        <f t="shared" si="0"/>
        <v>0.36139605724285617</v>
      </c>
      <c r="I59">
        <v>473.68393809999998</v>
      </c>
      <c r="J59">
        <f t="shared" si="1"/>
        <v>1310.7058823878838</v>
      </c>
      <c r="K59" s="1">
        <v>9.8700000000000004E-7</v>
      </c>
      <c r="L59" s="1">
        <f t="shared" si="2"/>
        <v>45388.28652016601</v>
      </c>
      <c r="M59" s="1">
        <f t="shared" si="3"/>
        <v>397601389.91665423</v>
      </c>
      <c r="N59">
        <f t="shared" si="4"/>
        <v>5.1378139678590171E+21</v>
      </c>
      <c r="O59">
        <v>13.51505474</v>
      </c>
      <c r="P59" s="1">
        <f t="shared" si="5"/>
        <v>2.3319657246049605E+26</v>
      </c>
      <c r="Q59" s="1">
        <f t="shared" si="6"/>
        <v>1.7254578464289375E+25</v>
      </c>
    </row>
    <row r="60" spans="1:17" x14ac:dyDescent="0.2">
      <c r="A60">
        <f t="shared" si="7"/>
        <v>59</v>
      </c>
      <c r="B60">
        <f t="shared" si="15"/>
        <v>100</v>
      </c>
      <c r="C60">
        <f t="shared" si="8"/>
        <v>59000</v>
      </c>
      <c r="E60" t="s">
        <v>2</v>
      </c>
      <c r="F60">
        <v>15.627974590000001</v>
      </c>
      <c r="G60">
        <v>43.429000000000002</v>
      </c>
      <c r="H60">
        <f t="shared" si="0"/>
        <v>0.35985112689677407</v>
      </c>
      <c r="I60">
        <v>421.72668670000002</v>
      </c>
      <c r="J60">
        <f t="shared" si="1"/>
        <v>1171.9476616255683</v>
      </c>
      <c r="K60" s="1">
        <v>9.9900000000000009E-7</v>
      </c>
      <c r="L60" s="1">
        <f t="shared" si="2"/>
        <v>44460.50240280803</v>
      </c>
      <c r="M60" s="1">
        <f t="shared" si="3"/>
        <v>389474001.04859835</v>
      </c>
      <c r="N60">
        <f t="shared" si="4"/>
        <v>2.625359948589824E+19</v>
      </c>
      <c r="O60">
        <v>13.75456204</v>
      </c>
      <c r="P60" s="1">
        <f t="shared" si="5"/>
        <v>1.1672482230251384E+24</v>
      </c>
      <c r="Q60" s="1">
        <f t="shared" si="6"/>
        <v>8.4862623733902498E+22</v>
      </c>
    </row>
    <row r="61" spans="1:17" x14ac:dyDescent="0.2">
      <c r="A61">
        <f t="shared" si="7"/>
        <v>60</v>
      </c>
      <c r="B61">
        <f>3000/30</f>
        <v>100</v>
      </c>
      <c r="C61">
        <f t="shared" si="8"/>
        <v>60000</v>
      </c>
      <c r="E61" t="s">
        <v>2</v>
      </c>
      <c r="F61">
        <v>15.768516350000001</v>
      </c>
      <c r="G61">
        <v>43.429000000000002</v>
      </c>
      <c r="H61">
        <f t="shared" si="0"/>
        <v>0.36308725390867852</v>
      </c>
      <c r="I61">
        <v>354.27843819999998</v>
      </c>
      <c r="J61">
        <f t="shared" si="1"/>
        <v>975.73912161925114</v>
      </c>
      <c r="K61" s="1">
        <v>9.7499999999999998E-7</v>
      </c>
      <c r="L61" s="1">
        <f t="shared" si="2"/>
        <v>46377.946056588924</v>
      </c>
      <c r="M61" s="1">
        <f t="shared" si="3"/>
        <v>406270807.45571899</v>
      </c>
      <c r="N61">
        <f t="shared" si="4"/>
        <v>1.509413907622869E+16</v>
      </c>
      <c r="O61">
        <v>13.575882</v>
      </c>
      <c r="P61" s="1">
        <f t="shared" si="5"/>
        <v>7.0003516784798518E+20</v>
      </c>
      <c r="Q61" s="1">
        <f t="shared" si="6"/>
        <v>5.1564617889871553E+19</v>
      </c>
    </row>
    <row r="62" spans="1:17" x14ac:dyDescent="0.2">
      <c r="A62">
        <f t="shared" si="7"/>
        <v>61</v>
      </c>
      <c r="B62">
        <f t="shared" ref="B62:B65" si="16">3000/29</f>
        <v>103.44827586206897</v>
      </c>
      <c r="C62">
        <f t="shared" si="8"/>
        <v>61000</v>
      </c>
      <c r="E62" t="s">
        <v>2</v>
      </c>
      <c r="F62">
        <v>15.8086544</v>
      </c>
      <c r="G62">
        <v>43.429000000000002</v>
      </c>
      <c r="H62">
        <f t="shared" si="0"/>
        <v>0.36401147620253743</v>
      </c>
      <c r="I62">
        <v>354.27843819999998</v>
      </c>
      <c r="J62">
        <f t="shared" si="1"/>
        <v>973.26172761343946</v>
      </c>
      <c r="K62" s="1">
        <v>9.6800000000000009E-7</v>
      </c>
      <c r="L62" s="1">
        <f t="shared" si="2"/>
        <v>46951.439771541955</v>
      </c>
      <c r="M62" s="1">
        <f t="shared" si="3"/>
        <v>411294612.39870751</v>
      </c>
      <c r="N62">
        <f t="shared" si="4"/>
        <v>1.373707374841761E+16</v>
      </c>
      <c r="O62">
        <v>13.321167880000001</v>
      </c>
      <c r="P62" s="1">
        <f t="shared" si="5"/>
        <v>6.4497539073605947E+20</v>
      </c>
      <c r="Q62" s="1">
        <f t="shared" si="6"/>
        <v>4.8417330713503433E+19</v>
      </c>
    </row>
    <row r="63" spans="1:17" x14ac:dyDescent="0.2">
      <c r="A63">
        <f t="shared" si="7"/>
        <v>62</v>
      </c>
      <c r="B63">
        <f t="shared" si="16"/>
        <v>103.44827586206897</v>
      </c>
      <c r="C63">
        <f t="shared" si="8"/>
        <v>62000</v>
      </c>
      <c r="E63" t="s">
        <v>2</v>
      </c>
      <c r="F63">
        <v>15.81073979</v>
      </c>
      <c r="G63">
        <v>43.429000000000002</v>
      </c>
      <c r="H63">
        <f t="shared" si="0"/>
        <v>0.36405949457735609</v>
      </c>
      <c r="I63">
        <v>375.46850110000003</v>
      </c>
      <c r="J63">
        <f t="shared" si="1"/>
        <v>1031.3383023724978</v>
      </c>
      <c r="K63" s="1">
        <v>9.6700000000000002E-7</v>
      </c>
      <c r="L63" s="1">
        <f t="shared" si="2"/>
        <v>47012.394258561071</v>
      </c>
      <c r="M63" s="1">
        <f t="shared" si="3"/>
        <v>411828573.70499498</v>
      </c>
      <c r="N63">
        <f t="shared" si="4"/>
        <v>1.2503391134554331E+17</v>
      </c>
      <c r="O63">
        <v>12.99422141</v>
      </c>
      <c r="P63" s="1">
        <f t="shared" si="5"/>
        <v>5.8781435358666545E+21</v>
      </c>
      <c r="Q63" s="1">
        <f t="shared" si="6"/>
        <v>4.5236596717853331E+20</v>
      </c>
    </row>
    <row r="64" spans="1:17" x14ac:dyDescent="0.2">
      <c r="A64">
        <f t="shared" si="7"/>
        <v>63</v>
      </c>
      <c r="B64">
        <f t="shared" si="16"/>
        <v>103.44827586206897</v>
      </c>
      <c r="C64">
        <f t="shared" si="8"/>
        <v>63000</v>
      </c>
      <c r="E64" t="s">
        <v>2</v>
      </c>
      <c r="F64">
        <v>15.58041192</v>
      </c>
      <c r="G64">
        <v>43.429000000000002</v>
      </c>
      <c r="H64">
        <f t="shared" si="0"/>
        <v>0.3587559446452831</v>
      </c>
      <c r="I64">
        <v>563.86484810000002</v>
      </c>
      <c r="J64">
        <f t="shared" si="1"/>
        <v>1571.7226613694627</v>
      </c>
      <c r="K64" s="1">
        <v>1.0100000000000001E-6</v>
      </c>
      <c r="L64" s="1">
        <f t="shared" si="2"/>
        <v>43709.008853155436</v>
      </c>
      <c r="M64" s="1">
        <f t="shared" si="3"/>
        <v>382890917.55364162</v>
      </c>
      <c r="N64">
        <f t="shared" si="4"/>
        <v>1.0506686747705395E+26</v>
      </c>
      <c r="O64">
        <v>14.286800489999999</v>
      </c>
      <c r="P64" s="1">
        <f t="shared" si="5"/>
        <v>4.5923686407278602E+30</v>
      </c>
      <c r="Q64" s="1">
        <f t="shared" si="6"/>
        <v>3.21441364281826E+29</v>
      </c>
    </row>
    <row r="65" spans="1:17" x14ac:dyDescent="0.2">
      <c r="A65">
        <f t="shared" si="7"/>
        <v>64</v>
      </c>
      <c r="B65">
        <f t="shared" si="16"/>
        <v>103.44827586206897</v>
      </c>
      <c r="C65">
        <f t="shared" si="8"/>
        <v>64000</v>
      </c>
      <c r="E65" t="s">
        <v>2</v>
      </c>
      <c r="F65">
        <v>14.948468480000001</v>
      </c>
      <c r="G65">
        <v>43.429000000000002</v>
      </c>
      <c r="H65">
        <f t="shared" si="0"/>
        <v>0.34420475903198322</v>
      </c>
      <c r="I65">
        <v>375.46850110000003</v>
      </c>
      <c r="J65">
        <f t="shared" si="1"/>
        <v>1090.8289070608457</v>
      </c>
      <c r="K65" s="1">
        <v>1.13E-6</v>
      </c>
      <c r="L65" s="1">
        <f t="shared" si="2"/>
        <v>35962.462155850546</v>
      </c>
      <c r="M65" s="1">
        <f t="shared" si="3"/>
        <v>315031168.48525077</v>
      </c>
      <c r="N65">
        <f t="shared" si="4"/>
        <v>1.2009200157366077E+18</v>
      </c>
      <c r="O65">
        <v>17.879409979999998</v>
      </c>
      <c r="P65" s="1">
        <f t="shared" si="5"/>
        <v>4.3188040618131201E+22</v>
      </c>
      <c r="Q65" s="1">
        <f t="shared" si="6"/>
        <v>2.4155182227177278E+21</v>
      </c>
    </row>
    <row r="66" spans="1:17" x14ac:dyDescent="0.2">
      <c r="A66">
        <f t="shared" si="7"/>
        <v>65</v>
      </c>
      <c r="B66">
        <f>3000/29</f>
        <v>103.44827586206897</v>
      </c>
      <c r="C66">
        <f t="shared" si="8"/>
        <v>65000</v>
      </c>
      <c r="E66" t="s">
        <v>2</v>
      </c>
      <c r="F66">
        <v>14.53236149</v>
      </c>
      <c r="G66">
        <v>43.429000000000002</v>
      </c>
      <c r="H66">
        <f t="shared" si="0"/>
        <v>0.33462344263050031</v>
      </c>
      <c r="I66">
        <v>532.04238750000002</v>
      </c>
      <c r="J66">
        <f t="shared" si="1"/>
        <v>1589.9734439331996</v>
      </c>
      <c r="K66" s="1">
        <v>1.22E-6</v>
      </c>
      <c r="L66" s="1">
        <f t="shared" si="2"/>
        <v>31480.890972750403</v>
      </c>
      <c r="M66" s="1">
        <f t="shared" si="3"/>
        <v>275772604.92129356</v>
      </c>
      <c r="N66">
        <f t="shared" si="4"/>
        <v>2.1031833251064654E+26</v>
      </c>
      <c r="O66">
        <v>17.69692822</v>
      </c>
      <c r="P66" s="1">
        <f t="shared" si="5"/>
        <v>6.6210084953383301E+30</v>
      </c>
      <c r="Q66" s="1">
        <f t="shared" si="6"/>
        <v>3.7413320622816709E+29</v>
      </c>
    </row>
    <row r="67" spans="1:17" x14ac:dyDescent="0.2">
      <c r="A67">
        <f t="shared" si="7"/>
        <v>66</v>
      </c>
      <c r="B67">
        <f t="shared" ref="B67:B68" si="17">3000/29</f>
        <v>103.44827586206897</v>
      </c>
      <c r="C67">
        <f t="shared" si="8"/>
        <v>66000</v>
      </c>
      <c r="E67" t="s">
        <v>2</v>
      </c>
      <c r="F67">
        <v>14.6170498</v>
      </c>
      <c r="G67">
        <v>43.429000000000002</v>
      </c>
      <c r="H67">
        <f t="shared" ref="H67:H130" si="18">F67/43.429</f>
        <v>0.33657348315641622</v>
      </c>
      <c r="I67">
        <v>633.33369760000005</v>
      </c>
      <c r="J67">
        <f t="shared" ref="J67:J130" si="19">I67/H67</f>
        <v>1881.7100255805656</v>
      </c>
      <c r="K67" s="1">
        <v>1.1999999999999999E-6</v>
      </c>
      <c r="L67" s="1">
        <f t="shared" ref="L67:L130" si="20">((H67^2)*0.343)/(K67)</f>
        <v>32379.688650388787</v>
      </c>
      <c r="M67" s="1">
        <f t="shared" ref="M67:M130" si="21">L67*8760</f>
        <v>283646072.57740575</v>
      </c>
      <c r="N67">
        <f t="shared" ref="N67:N130" si="22">EXP((J67+3.9052)/(26.297))</f>
        <v>1.3832527021210461E+31</v>
      </c>
      <c r="O67">
        <v>17.145681270000001</v>
      </c>
      <c r="P67" s="1">
        <f t="shared" ref="P67:P130" si="23">L67*N67</f>
        <v>4.4789291819488456E+35</v>
      </c>
      <c r="Q67" s="1">
        <f t="shared" ref="Q67:Q130" si="24">P67/O67</f>
        <v>2.6122783407770915E+34</v>
      </c>
    </row>
    <row r="68" spans="1:17" x14ac:dyDescent="0.2">
      <c r="A68">
        <f t="shared" ref="A68:A131" si="25">A67+1</f>
        <v>67</v>
      </c>
      <c r="B68">
        <f t="shared" si="17"/>
        <v>103.44827586206897</v>
      </c>
      <c r="C68">
        <f t="shared" ref="C68:C131" si="26">C67+1000</f>
        <v>67000</v>
      </c>
      <c r="E68" t="s">
        <v>2</v>
      </c>
      <c r="F68">
        <v>15.52985071</v>
      </c>
      <c r="G68">
        <v>43.429000000000002</v>
      </c>
      <c r="H68">
        <f t="shared" si="18"/>
        <v>0.35759171774620641</v>
      </c>
      <c r="I68">
        <v>473.68393809999998</v>
      </c>
      <c r="J68">
        <f t="shared" si="19"/>
        <v>1324.6501934817957</v>
      </c>
      <c r="K68" s="1">
        <v>1.02E-6</v>
      </c>
      <c r="L68" s="1">
        <f t="shared" si="20"/>
        <v>43000.039170621683</v>
      </c>
      <c r="M68" s="1">
        <f t="shared" si="21"/>
        <v>376680343.13464594</v>
      </c>
      <c r="N68">
        <f t="shared" si="22"/>
        <v>8.7310891355355543E+21</v>
      </c>
      <c r="O68">
        <v>13.29455596</v>
      </c>
      <c r="P68" s="1">
        <f t="shared" si="23"/>
        <v>3.7543717483021825E+26</v>
      </c>
      <c r="Q68" s="1">
        <f t="shared" si="24"/>
        <v>2.823991835152787E+25</v>
      </c>
    </row>
    <row r="69" spans="1:17" x14ac:dyDescent="0.2">
      <c r="A69">
        <f t="shared" si="25"/>
        <v>68</v>
      </c>
      <c r="B69">
        <f t="shared" ref="B69:B70" si="27">3000/28</f>
        <v>107.14285714285714</v>
      </c>
      <c r="C69">
        <f t="shared" si="26"/>
        <v>68000</v>
      </c>
      <c r="E69" t="s">
        <v>2</v>
      </c>
      <c r="F69">
        <v>15.44170428</v>
      </c>
      <c r="G69">
        <v>43.429000000000002</v>
      </c>
      <c r="H69">
        <f t="shared" si="18"/>
        <v>0.3555620502429252</v>
      </c>
      <c r="I69">
        <v>799.00177810000002</v>
      </c>
      <c r="J69">
        <f t="shared" si="19"/>
        <v>2247.1514537451631</v>
      </c>
      <c r="K69" s="1">
        <v>1.0300000000000001E-6</v>
      </c>
      <c r="L69" s="1">
        <f t="shared" si="20"/>
        <v>42100.543154876403</v>
      </c>
      <c r="M69" s="1">
        <f t="shared" si="21"/>
        <v>368800758.0367173</v>
      </c>
      <c r="N69">
        <f t="shared" si="22"/>
        <v>1.5002379214827366E+37</v>
      </c>
      <c r="O69">
        <v>14.32481752</v>
      </c>
      <c r="P69" s="1">
        <f t="shared" si="23"/>
        <v>6.3160831355966029E+41</v>
      </c>
      <c r="Q69" s="1">
        <f t="shared" si="24"/>
        <v>4.4091892457116637E+40</v>
      </c>
    </row>
    <row r="70" spans="1:17" x14ac:dyDescent="0.2">
      <c r="A70">
        <f t="shared" si="25"/>
        <v>69</v>
      </c>
      <c r="B70">
        <f t="shared" si="27"/>
        <v>107.14285714285714</v>
      </c>
      <c r="C70">
        <f t="shared" si="26"/>
        <v>69000</v>
      </c>
      <c r="E70" t="s">
        <v>2</v>
      </c>
      <c r="F70">
        <v>15.24903782</v>
      </c>
      <c r="G70">
        <v>43.429000000000002</v>
      </c>
      <c r="H70">
        <f t="shared" si="18"/>
        <v>0.35112569527274401</v>
      </c>
      <c r="I70">
        <v>354.27843819999998</v>
      </c>
      <c r="J70">
        <f t="shared" si="19"/>
        <v>1008.9789581614272</v>
      </c>
      <c r="K70" s="1">
        <v>1.0699999999999999E-6</v>
      </c>
      <c r="L70" s="1">
        <f t="shared" si="20"/>
        <v>39521.695402900368</v>
      </c>
      <c r="M70" s="1">
        <f t="shared" si="21"/>
        <v>346210051.72940725</v>
      </c>
      <c r="N70">
        <f t="shared" si="22"/>
        <v>5.3427351973102064E+16</v>
      </c>
      <c r="O70">
        <v>15.069951339999999</v>
      </c>
      <c r="P70" s="1">
        <f t="shared" si="23"/>
        <v>2.1115395308644878E+21</v>
      </c>
      <c r="Q70" s="1">
        <f t="shared" si="24"/>
        <v>1.4011588247533704E+20</v>
      </c>
    </row>
    <row r="71" spans="1:17" x14ac:dyDescent="0.2">
      <c r="A71">
        <f t="shared" si="25"/>
        <v>70</v>
      </c>
      <c r="B71">
        <f>3000/28</f>
        <v>107.14285714285714</v>
      </c>
      <c r="C71">
        <f t="shared" si="26"/>
        <v>70000</v>
      </c>
      <c r="E71" t="s">
        <v>2</v>
      </c>
      <c r="F71">
        <v>15.32037015</v>
      </c>
      <c r="G71">
        <v>43.429000000000002</v>
      </c>
      <c r="H71">
        <f t="shared" si="18"/>
        <v>0.35276819982039648</v>
      </c>
      <c r="I71">
        <v>502.01586959999997</v>
      </c>
      <c r="J71">
        <f t="shared" si="19"/>
        <v>1423.0757473479453</v>
      </c>
      <c r="K71" s="1">
        <v>1.06E-6</v>
      </c>
      <c r="L71" s="1">
        <f t="shared" si="20"/>
        <v>40268.653926369298</v>
      </c>
      <c r="M71" s="1">
        <f t="shared" si="21"/>
        <v>352753408.39499503</v>
      </c>
      <c r="N71">
        <f t="shared" si="22"/>
        <v>3.6860792931828103E+23</v>
      </c>
      <c r="O71">
        <v>15.00912409</v>
      </c>
      <c r="P71" s="1">
        <f t="shared" si="23"/>
        <v>1.4843345140233453E+28</v>
      </c>
      <c r="Q71" s="1">
        <f t="shared" si="24"/>
        <v>9.8895478851580691E+26</v>
      </c>
    </row>
    <row r="72" spans="1:17" x14ac:dyDescent="0.2">
      <c r="A72">
        <f t="shared" si="25"/>
        <v>71</v>
      </c>
      <c r="B72">
        <f t="shared" ref="B72:B75" si="28">3000/27</f>
        <v>111.11111111111111</v>
      </c>
      <c r="C72">
        <f t="shared" si="26"/>
        <v>71000</v>
      </c>
      <c r="E72" t="s">
        <v>2</v>
      </c>
      <c r="F72">
        <v>15.47349116</v>
      </c>
      <c r="G72">
        <v>43.429000000000002</v>
      </c>
      <c r="H72">
        <f t="shared" si="18"/>
        <v>0.35629397775679844</v>
      </c>
      <c r="I72">
        <v>799.00177810000002</v>
      </c>
      <c r="J72">
        <f t="shared" si="19"/>
        <v>2242.5351759534597</v>
      </c>
      <c r="K72" s="1">
        <v>1.0300000000000001E-6</v>
      </c>
      <c r="L72" s="1">
        <f t="shared" si="20"/>
        <v>42274.050208656656</v>
      </c>
      <c r="M72" s="1">
        <f t="shared" si="21"/>
        <v>370320679.82783228</v>
      </c>
      <c r="N72">
        <f t="shared" si="22"/>
        <v>1.2587004696353882E+37</v>
      </c>
      <c r="O72">
        <v>14.332420920000001</v>
      </c>
      <c r="P72" s="1">
        <f t="shared" si="23"/>
        <v>5.3210366851026112E+41</v>
      </c>
      <c r="Q72" s="1">
        <f t="shared" si="24"/>
        <v>3.7125875068861788E+40</v>
      </c>
    </row>
    <row r="73" spans="1:17" x14ac:dyDescent="0.2">
      <c r="A73">
        <f t="shared" si="25"/>
        <v>72</v>
      </c>
      <c r="B73">
        <f t="shared" si="28"/>
        <v>111.11111111111111</v>
      </c>
      <c r="C73">
        <f t="shared" si="26"/>
        <v>72000</v>
      </c>
      <c r="E73" t="s">
        <v>2</v>
      </c>
      <c r="F73">
        <v>15.51181294</v>
      </c>
      <c r="G73">
        <v>43.429000000000002</v>
      </c>
      <c r="H73">
        <f t="shared" si="18"/>
        <v>0.35717637845679157</v>
      </c>
      <c r="I73">
        <v>264.97248830000001</v>
      </c>
      <c r="J73">
        <f t="shared" si="19"/>
        <v>741.85333712390036</v>
      </c>
      <c r="K73" s="1">
        <v>1.02E-6</v>
      </c>
      <c r="L73" s="1">
        <f t="shared" si="20"/>
        <v>42900.208928760454</v>
      </c>
      <c r="M73" s="1">
        <f t="shared" si="21"/>
        <v>375805830.21594155</v>
      </c>
      <c r="N73">
        <f t="shared" si="22"/>
        <v>2071041607506.5752</v>
      </c>
      <c r="O73">
        <v>13.97506083</v>
      </c>
      <c r="P73" s="1">
        <f t="shared" si="23"/>
        <v>8.8848117662187984E+16</v>
      </c>
      <c r="Q73" s="1">
        <f t="shared" si="24"/>
        <v>6357619386633323</v>
      </c>
    </row>
    <row r="74" spans="1:17" x14ac:dyDescent="0.2">
      <c r="A74">
        <f t="shared" si="25"/>
        <v>73</v>
      </c>
      <c r="B74">
        <f t="shared" si="28"/>
        <v>111.11111111111111</v>
      </c>
      <c r="C74">
        <f t="shared" si="26"/>
        <v>73000</v>
      </c>
      <c r="E74" t="s">
        <v>2</v>
      </c>
      <c r="F74">
        <v>15.472938490000001</v>
      </c>
      <c r="G74">
        <v>43.429000000000002</v>
      </c>
      <c r="H74">
        <f t="shared" si="18"/>
        <v>0.35628125192843491</v>
      </c>
      <c r="I74">
        <v>2706.1525969999998</v>
      </c>
      <c r="J74">
        <f t="shared" si="19"/>
        <v>7595.5514985772425</v>
      </c>
      <c r="K74" s="1">
        <v>1.0300000000000001E-6</v>
      </c>
      <c r="L74" s="1">
        <f t="shared" si="20"/>
        <v>42271.030439963746</v>
      </c>
      <c r="M74" s="1">
        <f t="shared" si="21"/>
        <v>370294226.65408242</v>
      </c>
      <c r="N74">
        <f t="shared" si="22"/>
        <v>3.198089833601486E+125</v>
      </c>
      <c r="O74">
        <v>14.355231140000001</v>
      </c>
      <c r="P74" s="1">
        <f t="shared" si="23"/>
        <v>1.3518655270590701E+130</v>
      </c>
      <c r="Q74" s="1">
        <f t="shared" si="24"/>
        <v>9.4172327416740581E+128</v>
      </c>
    </row>
    <row r="75" spans="1:17" x14ac:dyDescent="0.2">
      <c r="A75">
        <f t="shared" si="25"/>
        <v>74</v>
      </c>
      <c r="B75">
        <f t="shared" si="28"/>
        <v>111.11111111111111</v>
      </c>
      <c r="C75">
        <f t="shared" si="26"/>
        <v>74000</v>
      </c>
      <c r="E75" t="s">
        <v>2</v>
      </c>
      <c r="F75">
        <v>15.305513489999999</v>
      </c>
      <c r="G75">
        <v>43.429000000000002</v>
      </c>
      <c r="H75">
        <f t="shared" si="18"/>
        <v>0.35242610905155536</v>
      </c>
      <c r="I75">
        <v>473.68393809999998</v>
      </c>
      <c r="J75">
        <f t="shared" si="19"/>
        <v>1344.0659642804903</v>
      </c>
      <c r="K75" s="1">
        <v>1.06E-6</v>
      </c>
      <c r="L75" s="1">
        <f t="shared" si="20"/>
        <v>40190.592153809484</v>
      </c>
      <c r="M75" s="1">
        <f t="shared" si="21"/>
        <v>352069587.26737106</v>
      </c>
      <c r="N75">
        <f t="shared" si="22"/>
        <v>1.8269199881278914E+22</v>
      </c>
      <c r="O75">
        <v>14.60994526</v>
      </c>
      <c r="P75" s="1">
        <f t="shared" si="23"/>
        <v>7.3424996140490553E+26</v>
      </c>
      <c r="Q75" s="1">
        <f t="shared" si="24"/>
        <v>5.0256859169430289E+25</v>
      </c>
    </row>
    <row r="76" spans="1:17" x14ac:dyDescent="0.2">
      <c r="A76">
        <f t="shared" si="25"/>
        <v>75</v>
      </c>
      <c r="B76">
        <f>3000/27</f>
        <v>111.11111111111111</v>
      </c>
      <c r="C76">
        <f t="shared" si="26"/>
        <v>75000</v>
      </c>
      <c r="E76" t="s">
        <v>2</v>
      </c>
      <c r="F76">
        <v>15.08585501</v>
      </c>
      <c r="G76">
        <v>43.429000000000002</v>
      </c>
      <c r="H76">
        <f t="shared" si="18"/>
        <v>0.34736823343848577</v>
      </c>
      <c r="I76">
        <v>633.33369760000005</v>
      </c>
      <c r="J76">
        <f t="shared" si="19"/>
        <v>1823.2343566100867</v>
      </c>
      <c r="K76" s="1">
        <v>1.1000000000000001E-6</v>
      </c>
      <c r="L76" s="1">
        <f t="shared" si="20"/>
        <v>37625.444121405279</v>
      </c>
      <c r="M76" s="1">
        <f t="shared" si="21"/>
        <v>329598890.50351024</v>
      </c>
      <c r="N76">
        <f t="shared" si="22"/>
        <v>1.4968452593141799E+30</v>
      </c>
      <c r="O76">
        <v>16.480383209999999</v>
      </c>
      <c r="P76" s="1">
        <f t="shared" si="23"/>
        <v>5.6319467662716072E+34</v>
      </c>
      <c r="Q76" s="1">
        <f t="shared" si="24"/>
        <v>3.4173639620553504E+33</v>
      </c>
    </row>
    <row r="77" spans="1:17" x14ac:dyDescent="0.2">
      <c r="A77">
        <f t="shared" si="25"/>
        <v>76</v>
      </c>
      <c r="B77">
        <f>3000/27</f>
        <v>111.11111111111111</v>
      </c>
      <c r="C77">
        <f t="shared" si="26"/>
        <v>76000</v>
      </c>
      <c r="E77" t="s">
        <v>2</v>
      </c>
      <c r="F77">
        <v>14.418451940000001</v>
      </c>
      <c r="G77">
        <v>43.429000000000002</v>
      </c>
      <c r="H77">
        <f t="shared" si="18"/>
        <v>0.33200055124456007</v>
      </c>
      <c r="I77">
        <v>375.46850110000003</v>
      </c>
      <c r="J77">
        <f t="shared" si="19"/>
        <v>1130.9273424170322</v>
      </c>
      <c r="K77" s="1">
        <v>1.2500000000000001E-6</v>
      </c>
      <c r="L77" s="1">
        <f t="shared" si="20"/>
        <v>30245.566037724217</v>
      </c>
      <c r="M77" s="1">
        <f t="shared" si="21"/>
        <v>264951158.49046415</v>
      </c>
      <c r="N77">
        <f t="shared" si="22"/>
        <v>5.5174578205947587E+18</v>
      </c>
      <c r="O77">
        <v>21.574665450000001</v>
      </c>
      <c r="P77" s="1">
        <f t="shared" si="23"/>
        <v>1.6687863487315671E+23</v>
      </c>
      <c r="Q77" s="1">
        <f t="shared" si="24"/>
        <v>7.7349349986401161E+21</v>
      </c>
    </row>
    <row r="78" spans="1:17" x14ac:dyDescent="0.2">
      <c r="A78">
        <f t="shared" si="25"/>
        <v>77</v>
      </c>
      <c r="B78">
        <f t="shared" ref="B78:B80" si="29">3000/26</f>
        <v>115.38461538461539</v>
      </c>
      <c r="C78">
        <f t="shared" si="26"/>
        <v>77000</v>
      </c>
      <c r="E78" t="s">
        <v>2</v>
      </c>
      <c r="F78">
        <v>14.500309100000001</v>
      </c>
      <c r="G78">
        <v>43.429000000000002</v>
      </c>
      <c r="H78">
        <f t="shared" si="18"/>
        <v>0.33388540145985401</v>
      </c>
      <c r="I78">
        <v>354.27843819999998</v>
      </c>
      <c r="J78">
        <f t="shared" si="19"/>
        <v>1061.0779526477679</v>
      </c>
      <c r="K78" s="1">
        <v>1.2300000000000001E-6</v>
      </c>
      <c r="L78" s="1">
        <f t="shared" si="20"/>
        <v>31087.361974509517</v>
      </c>
      <c r="M78" s="1">
        <f t="shared" si="21"/>
        <v>272325290.89670336</v>
      </c>
      <c r="N78">
        <f t="shared" si="22"/>
        <v>3.8741604779167546E+17</v>
      </c>
      <c r="O78">
        <v>17.80337591</v>
      </c>
      <c r="P78" s="1">
        <f t="shared" si="23"/>
        <v>1.2043742912433692E+22</v>
      </c>
      <c r="Q78" s="1">
        <f t="shared" si="24"/>
        <v>6.7648646938184502E+20</v>
      </c>
    </row>
    <row r="79" spans="1:17" x14ac:dyDescent="0.2">
      <c r="A79">
        <f t="shared" si="25"/>
        <v>78</v>
      </c>
      <c r="B79">
        <f t="shared" si="29"/>
        <v>115.38461538461539</v>
      </c>
      <c r="C79">
        <f t="shared" si="26"/>
        <v>78000</v>
      </c>
      <c r="E79" t="s">
        <v>2</v>
      </c>
      <c r="F79">
        <v>15.02776019</v>
      </c>
      <c r="G79">
        <v>43.429000000000002</v>
      </c>
      <c r="H79">
        <f t="shared" si="18"/>
        <v>0.34603053696838515</v>
      </c>
      <c r="I79">
        <v>2706.1525969999998</v>
      </c>
      <c r="J79">
        <f t="shared" si="19"/>
        <v>7820.5600601291599</v>
      </c>
      <c r="K79" s="1">
        <v>1.11E-6</v>
      </c>
      <c r="L79" s="1">
        <f t="shared" si="20"/>
        <v>36999.852659925891</v>
      </c>
      <c r="M79" s="1">
        <f t="shared" si="21"/>
        <v>324118709.30095083</v>
      </c>
      <c r="N79">
        <f t="shared" si="22"/>
        <v>1.6630411858497098E+129</v>
      </c>
      <c r="O79">
        <v>15.83409367</v>
      </c>
      <c r="P79" s="1">
        <f t="shared" si="23"/>
        <v>6.1532278843827697E+133</v>
      </c>
      <c r="Q79" s="1">
        <f t="shared" si="24"/>
        <v>3.8860625765028519E+132</v>
      </c>
    </row>
    <row r="80" spans="1:17" x14ac:dyDescent="0.2">
      <c r="A80">
        <f t="shared" si="25"/>
        <v>79</v>
      </c>
      <c r="B80">
        <f t="shared" si="29"/>
        <v>115.38461538461539</v>
      </c>
      <c r="C80">
        <f t="shared" si="26"/>
        <v>79000</v>
      </c>
      <c r="E80" t="s">
        <v>2</v>
      </c>
      <c r="F80">
        <v>14.82891266</v>
      </c>
      <c r="G80">
        <v>43.429000000000002</v>
      </c>
      <c r="H80">
        <f t="shared" si="18"/>
        <v>0.34145185613299867</v>
      </c>
      <c r="I80">
        <v>1347.7422180000001</v>
      </c>
      <c r="J80">
        <f t="shared" si="19"/>
        <v>3947.092961401393</v>
      </c>
      <c r="K80" s="1">
        <v>1.1599999999999999E-6</v>
      </c>
      <c r="L80" s="1">
        <f t="shared" si="20"/>
        <v>34474.27062882571</v>
      </c>
      <c r="M80" s="1">
        <f t="shared" si="21"/>
        <v>301994610.7085132</v>
      </c>
      <c r="N80">
        <f t="shared" si="22"/>
        <v>1.7809985054784168E+65</v>
      </c>
      <c r="O80">
        <v>16.411952549999999</v>
      </c>
      <c r="P80" s="1">
        <f t="shared" si="23"/>
        <v>6.1398624467397073E+69</v>
      </c>
      <c r="Q80" s="1">
        <f t="shared" si="24"/>
        <v>3.7410920047655805E+68</v>
      </c>
    </row>
    <row r="81" spans="1:17" x14ac:dyDescent="0.2">
      <c r="A81">
        <f t="shared" si="25"/>
        <v>80</v>
      </c>
      <c r="B81">
        <f>3000/26</f>
        <v>115.38461538461539</v>
      </c>
      <c r="C81">
        <f t="shared" si="26"/>
        <v>80000</v>
      </c>
      <c r="E81" t="s">
        <v>2</v>
      </c>
      <c r="F81">
        <v>14.913796100000001</v>
      </c>
      <c r="G81">
        <v>43.429000000000002</v>
      </c>
      <c r="H81">
        <f t="shared" si="18"/>
        <v>0.34340638973957494</v>
      </c>
      <c r="I81">
        <v>375.46850110000003</v>
      </c>
      <c r="J81">
        <f t="shared" si="19"/>
        <v>1093.3649236542735</v>
      </c>
      <c r="K81" s="1">
        <v>1.1400000000000001E-6</v>
      </c>
      <c r="L81" s="1">
        <f t="shared" si="20"/>
        <v>35481.830123062558</v>
      </c>
      <c r="M81" s="1">
        <f t="shared" si="21"/>
        <v>310820831.87802804</v>
      </c>
      <c r="N81">
        <f t="shared" si="22"/>
        <v>1.3225020432524961E+18</v>
      </c>
      <c r="O81">
        <v>16.119221410000002</v>
      </c>
      <c r="P81" s="1">
        <f t="shared" si="23"/>
        <v>4.6924792836088201E+22</v>
      </c>
      <c r="Q81" s="1">
        <f t="shared" si="24"/>
        <v>2.9111079029522553E+21</v>
      </c>
    </row>
    <row r="82" spans="1:17" x14ac:dyDescent="0.2">
      <c r="A82">
        <f t="shared" si="25"/>
        <v>81</v>
      </c>
      <c r="B82">
        <f t="shared" ref="B82:B90" si="30">3000/26</f>
        <v>115.38461538461539</v>
      </c>
      <c r="C82">
        <f t="shared" si="26"/>
        <v>81000</v>
      </c>
      <c r="E82" t="s">
        <v>2</v>
      </c>
      <c r="F82">
        <v>14.92645933</v>
      </c>
      <c r="G82">
        <v>43.429000000000002</v>
      </c>
      <c r="H82">
        <f t="shared" si="18"/>
        <v>0.3436979743949895</v>
      </c>
      <c r="I82">
        <v>264.97248830000001</v>
      </c>
      <c r="J82">
        <f t="shared" si="19"/>
        <v>770.94573736266636</v>
      </c>
      <c r="K82" s="1">
        <v>1.13E-6</v>
      </c>
      <c r="L82" s="1">
        <f t="shared" si="20"/>
        <v>35856.642546817762</v>
      </c>
      <c r="M82" s="1">
        <f t="shared" si="21"/>
        <v>314104188.7101236</v>
      </c>
      <c r="N82">
        <f t="shared" si="22"/>
        <v>6261080542346.8369</v>
      </c>
      <c r="O82">
        <v>16.362530410000002</v>
      </c>
      <c r="P82" s="1">
        <f t="shared" si="23"/>
        <v>2.2450132696376643E+17</v>
      </c>
      <c r="Q82" s="1">
        <f t="shared" si="24"/>
        <v>1.3720452847963044E+16</v>
      </c>
    </row>
    <row r="83" spans="1:17" x14ac:dyDescent="0.2">
      <c r="A83">
        <f t="shared" si="25"/>
        <v>82</v>
      </c>
      <c r="B83">
        <f t="shared" si="30"/>
        <v>115.38461538461539</v>
      </c>
      <c r="C83">
        <f t="shared" si="26"/>
        <v>82000</v>
      </c>
      <c r="E83" t="s">
        <v>2</v>
      </c>
      <c r="F83">
        <v>13.87510179</v>
      </c>
      <c r="G83">
        <v>43.429000000000002</v>
      </c>
      <c r="H83">
        <f t="shared" si="18"/>
        <v>0.31948932257247459</v>
      </c>
      <c r="I83">
        <v>2023.9899190000001</v>
      </c>
      <c r="J83">
        <f t="shared" si="19"/>
        <v>6335.0784392516525</v>
      </c>
      <c r="K83" s="1">
        <v>1.39E-6</v>
      </c>
      <c r="L83" s="1">
        <f t="shared" si="20"/>
        <v>25187.90326803728</v>
      </c>
      <c r="M83" s="1">
        <f t="shared" si="21"/>
        <v>220646032.62800658</v>
      </c>
      <c r="N83">
        <f t="shared" si="22"/>
        <v>4.8775391122065597E+104</v>
      </c>
      <c r="O83">
        <v>20.149026760000002</v>
      </c>
      <c r="P83" s="1">
        <f t="shared" si="23"/>
        <v>1.2285498334432727E+109</v>
      </c>
      <c r="Q83" s="1">
        <f t="shared" si="24"/>
        <v>6.0973160047719971E+107</v>
      </c>
    </row>
    <row r="84" spans="1:17" x14ac:dyDescent="0.2">
      <c r="A84">
        <f t="shared" si="25"/>
        <v>83</v>
      </c>
      <c r="B84">
        <f t="shared" si="30"/>
        <v>115.38461538461539</v>
      </c>
      <c r="C84">
        <f t="shared" si="26"/>
        <v>83000</v>
      </c>
      <c r="E84" t="s">
        <v>2</v>
      </c>
      <c r="F84">
        <v>13.89947907</v>
      </c>
      <c r="G84">
        <v>43.429000000000002</v>
      </c>
      <c r="H84">
        <f t="shared" si="18"/>
        <v>0.32005063598056599</v>
      </c>
      <c r="I84">
        <v>1271.6805979999999</v>
      </c>
      <c r="J84">
        <f t="shared" si="19"/>
        <v>3973.373132360276</v>
      </c>
      <c r="K84" s="1">
        <v>1.3799999999999999E-6</v>
      </c>
      <c r="L84" s="1">
        <f t="shared" si="20"/>
        <v>25459.649630367185</v>
      </c>
      <c r="M84" s="1">
        <f t="shared" si="21"/>
        <v>223026530.76201653</v>
      </c>
      <c r="N84">
        <f t="shared" si="22"/>
        <v>4.8381586526082847E+65</v>
      </c>
      <c r="O84">
        <v>19.460918490000001</v>
      </c>
      <c r="P84" s="1">
        <f t="shared" si="23"/>
        <v>1.2317782415153632E+70</v>
      </c>
      <c r="Q84" s="1">
        <f t="shared" si="24"/>
        <v>6.3294969461400955E+68</v>
      </c>
    </row>
    <row r="85" spans="1:17" x14ac:dyDescent="0.2">
      <c r="A85">
        <f t="shared" si="25"/>
        <v>84</v>
      </c>
      <c r="B85">
        <f t="shared" si="30"/>
        <v>115.38461538461539</v>
      </c>
      <c r="C85">
        <f t="shared" si="26"/>
        <v>84000</v>
      </c>
      <c r="E85" t="s">
        <v>2</v>
      </c>
      <c r="F85">
        <v>14.07920766</v>
      </c>
      <c r="G85">
        <v>43.429000000000002</v>
      </c>
      <c r="H85">
        <f t="shared" si="18"/>
        <v>0.32418908241037092</v>
      </c>
      <c r="I85">
        <v>2273.3479900000002</v>
      </c>
      <c r="J85">
        <f t="shared" si="19"/>
        <v>7012.4137836397267</v>
      </c>
      <c r="K85" s="1">
        <v>1.33E-6</v>
      </c>
      <c r="L85" s="1">
        <f t="shared" si="20"/>
        <v>27104.365771314926</v>
      </c>
      <c r="M85" s="1">
        <f t="shared" si="21"/>
        <v>237434244.15671876</v>
      </c>
      <c r="N85">
        <f t="shared" si="22"/>
        <v>7.4882750428266958E+115</v>
      </c>
      <c r="O85">
        <v>18.75</v>
      </c>
      <c r="P85" s="1">
        <f t="shared" si="23"/>
        <v>2.029649457569837E+120</v>
      </c>
      <c r="Q85" s="1">
        <f t="shared" si="24"/>
        <v>1.0824797107039132E+119</v>
      </c>
    </row>
    <row r="86" spans="1:17" x14ac:dyDescent="0.2">
      <c r="A86">
        <f t="shared" si="25"/>
        <v>85</v>
      </c>
      <c r="B86">
        <f t="shared" si="30"/>
        <v>115.38461538461539</v>
      </c>
      <c r="C86">
        <f t="shared" si="26"/>
        <v>85000</v>
      </c>
      <c r="E86" t="s">
        <v>2</v>
      </c>
      <c r="F86">
        <v>13.642497779999999</v>
      </c>
      <c r="G86">
        <v>43.429000000000002</v>
      </c>
      <c r="H86">
        <f t="shared" si="18"/>
        <v>0.3141333620391904</v>
      </c>
      <c r="I86">
        <v>2706.1525969999998</v>
      </c>
      <c r="J86">
        <f t="shared" si="19"/>
        <v>8614.6615546755838</v>
      </c>
      <c r="K86" s="1">
        <v>1.46E-6</v>
      </c>
      <c r="L86" s="1">
        <f t="shared" si="20"/>
        <v>23182.98686102292</v>
      </c>
      <c r="M86" s="1">
        <f t="shared" si="21"/>
        <v>203082964.90256077</v>
      </c>
      <c r="N86">
        <f t="shared" si="22"/>
        <v>2.1650847496289415E+142</v>
      </c>
      <c r="O86">
        <v>21.72293187</v>
      </c>
      <c r="P86" s="1">
        <f t="shared" si="23"/>
        <v>5.0193131303648853E+146</v>
      </c>
      <c r="Q86" s="1">
        <f t="shared" si="24"/>
        <v>2.3106057508271721E+145</v>
      </c>
    </row>
    <row r="87" spans="1:17" x14ac:dyDescent="0.2">
      <c r="A87">
        <f t="shared" si="25"/>
        <v>86</v>
      </c>
      <c r="B87">
        <f t="shared" si="30"/>
        <v>115.38461538461539</v>
      </c>
      <c r="C87">
        <f t="shared" si="26"/>
        <v>86000</v>
      </c>
      <c r="E87" t="s">
        <v>2</v>
      </c>
      <c r="F87">
        <v>13.63549602</v>
      </c>
      <c r="G87">
        <v>43.429000000000002</v>
      </c>
      <c r="H87">
        <f t="shared" si="18"/>
        <v>0.31397213889336617</v>
      </c>
      <c r="I87">
        <v>1347.7422180000001</v>
      </c>
      <c r="J87">
        <f t="shared" si="19"/>
        <v>4292.5535455161244</v>
      </c>
      <c r="K87" s="1">
        <v>1.46E-6</v>
      </c>
      <c r="L87" s="1">
        <f t="shared" si="20"/>
        <v>23159.196487970821</v>
      </c>
      <c r="M87" s="1">
        <f t="shared" si="21"/>
        <v>202874561.23462439</v>
      </c>
      <c r="N87">
        <f t="shared" si="22"/>
        <v>9.0352232233031311E+70</v>
      </c>
      <c r="O87">
        <v>22.39963504</v>
      </c>
      <c r="P87" s="1">
        <f t="shared" si="23"/>
        <v>2.0924850994115427E+75</v>
      </c>
      <c r="Q87" s="1">
        <f t="shared" si="24"/>
        <v>9.3416035380706037E+73</v>
      </c>
    </row>
    <row r="88" spans="1:17" x14ac:dyDescent="0.2">
      <c r="A88">
        <f t="shared" si="25"/>
        <v>87</v>
      </c>
      <c r="B88">
        <f t="shared" si="30"/>
        <v>115.38461538461539</v>
      </c>
      <c r="C88">
        <f t="shared" si="26"/>
        <v>87000</v>
      </c>
      <c r="E88" t="s">
        <v>2</v>
      </c>
      <c r="F88">
        <v>13.671248800000001</v>
      </c>
      <c r="G88">
        <v>43.429000000000002</v>
      </c>
      <c r="H88">
        <f t="shared" si="18"/>
        <v>0.31479538557185294</v>
      </c>
      <c r="I88">
        <v>2706.1525969999998</v>
      </c>
      <c r="J88">
        <f t="shared" si="19"/>
        <v>8596.5446795989101</v>
      </c>
      <c r="K88" s="1">
        <v>1.4500000000000001E-6</v>
      </c>
      <c r="L88" s="1">
        <f t="shared" si="20"/>
        <v>23441.361536982571</v>
      </c>
      <c r="M88" s="1">
        <f t="shared" si="21"/>
        <v>205346327.06396732</v>
      </c>
      <c r="N88">
        <f t="shared" si="22"/>
        <v>1.0871138656163259E+142</v>
      </c>
      <c r="O88">
        <v>22.502281020000002</v>
      </c>
      <c r="P88" s="1">
        <f t="shared" si="23"/>
        <v>2.548342915577898E+146</v>
      </c>
      <c r="Q88" s="1">
        <f t="shared" si="24"/>
        <v>1.1324820418485281E+145</v>
      </c>
    </row>
    <row r="89" spans="1:17" x14ac:dyDescent="0.2">
      <c r="A89">
        <f t="shared" si="25"/>
        <v>88</v>
      </c>
      <c r="B89">
        <f t="shared" si="30"/>
        <v>115.38461538461539</v>
      </c>
      <c r="C89">
        <f t="shared" si="26"/>
        <v>88000</v>
      </c>
      <c r="E89" t="s">
        <v>2</v>
      </c>
      <c r="F89">
        <v>13.744410439999999</v>
      </c>
      <c r="G89">
        <v>43.429000000000002</v>
      </c>
      <c r="H89">
        <f t="shared" si="18"/>
        <v>0.31648001197356601</v>
      </c>
      <c r="I89">
        <v>354.27843819999998</v>
      </c>
      <c r="J89">
        <f t="shared" si="19"/>
        <v>1119.4338498369088</v>
      </c>
      <c r="K89" s="1">
        <v>1.4300000000000001E-6</v>
      </c>
      <c r="L89" s="1">
        <f t="shared" si="20"/>
        <v>24024.295179527584</v>
      </c>
      <c r="M89" s="1">
        <f t="shared" si="21"/>
        <v>210452825.77266163</v>
      </c>
      <c r="N89">
        <f t="shared" si="22"/>
        <v>3.563889241699477E+18</v>
      </c>
      <c r="O89">
        <v>22.764598540000001</v>
      </c>
      <c r="P89" s="1">
        <f t="shared" si="23"/>
        <v>8.5619927129730968E+22</v>
      </c>
      <c r="Q89" s="1">
        <f t="shared" si="24"/>
        <v>3.7610998050014794E+21</v>
      </c>
    </row>
    <row r="90" spans="1:17" x14ac:dyDescent="0.2">
      <c r="A90">
        <f t="shared" si="25"/>
        <v>89</v>
      </c>
      <c r="B90">
        <f t="shared" si="30"/>
        <v>115.38461538461539</v>
      </c>
      <c r="C90">
        <f t="shared" si="26"/>
        <v>89000</v>
      </c>
      <c r="E90" t="s">
        <v>2</v>
      </c>
      <c r="F90">
        <v>13.79861107</v>
      </c>
      <c r="G90">
        <v>43.429000000000002</v>
      </c>
      <c r="H90">
        <f t="shared" si="18"/>
        <v>0.31772804047986364</v>
      </c>
      <c r="I90">
        <v>2409.32123</v>
      </c>
      <c r="J90">
        <f t="shared" si="19"/>
        <v>7582.9669498518606</v>
      </c>
      <c r="K90" s="1">
        <v>1.4100000000000001E-6</v>
      </c>
      <c r="L90" s="1">
        <f t="shared" si="20"/>
        <v>24557.609889050098</v>
      </c>
      <c r="M90" s="1">
        <f t="shared" si="21"/>
        <v>215124662.62807885</v>
      </c>
      <c r="N90">
        <f t="shared" si="22"/>
        <v>1.981787400599659E+125</v>
      </c>
      <c r="O90">
        <v>23.916514599999999</v>
      </c>
      <c r="P90" s="1">
        <f t="shared" si="23"/>
        <v>4.8667961866961073E+129</v>
      </c>
      <c r="Q90" s="1">
        <f t="shared" si="24"/>
        <v>2.0349102986336093E+128</v>
      </c>
    </row>
    <row r="91" spans="1:17" x14ac:dyDescent="0.2">
      <c r="A91">
        <f t="shared" si="25"/>
        <v>90</v>
      </c>
      <c r="B91">
        <f>3000/25</f>
        <v>120</v>
      </c>
      <c r="C91">
        <f t="shared" si="26"/>
        <v>90000</v>
      </c>
      <c r="E91" t="s">
        <v>2</v>
      </c>
      <c r="F91">
        <v>13.83978988</v>
      </c>
      <c r="G91">
        <v>43.429000000000002</v>
      </c>
      <c r="H91">
        <f t="shared" si="18"/>
        <v>0.3186762274056506</v>
      </c>
      <c r="I91">
        <v>1132.1930130000001</v>
      </c>
      <c r="J91">
        <f t="shared" si="19"/>
        <v>3552.8003523112016</v>
      </c>
      <c r="K91" s="1">
        <v>1.3999999999999999E-6</v>
      </c>
      <c r="L91" s="1">
        <f t="shared" si="20"/>
        <v>24880.861788806997</v>
      </c>
      <c r="M91" s="1">
        <f t="shared" si="21"/>
        <v>217956349.26994929</v>
      </c>
      <c r="N91">
        <f t="shared" si="22"/>
        <v>5.4818634009434497E+58</v>
      </c>
      <c r="O91">
        <v>24.441149639999999</v>
      </c>
      <c r="P91" s="1">
        <f t="shared" si="23"/>
        <v>1.3639348562399345E+63</v>
      </c>
      <c r="Q91" s="1">
        <f t="shared" si="24"/>
        <v>5.580485682259971E+61</v>
      </c>
    </row>
    <row r="92" spans="1:17" x14ac:dyDescent="0.2">
      <c r="A92">
        <f t="shared" si="25"/>
        <v>91</v>
      </c>
      <c r="B92">
        <v>120</v>
      </c>
      <c r="C92">
        <f t="shared" si="26"/>
        <v>91000</v>
      </c>
      <c r="E92" t="s">
        <v>2</v>
      </c>
      <c r="F92">
        <v>13.70633059</v>
      </c>
      <c r="G92">
        <v>43.429000000000002</v>
      </c>
      <c r="H92">
        <f t="shared" si="18"/>
        <v>0.31560318197517789</v>
      </c>
      <c r="I92">
        <v>1700.2860149999999</v>
      </c>
      <c r="J92">
        <f t="shared" si="19"/>
        <v>5387.4172128395303</v>
      </c>
      <c r="K92" s="1">
        <v>1.44E-6</v>
      </c>
      <c r="L92" s="1">
        <f t="shared" si="20"/>
        <v>23725.445407076419</v>
      </c>
      <c r="M92" s="1">
        <f t="shared" si="21"/>
        <v>207834901.76598942</v>
      </c>
      <c r="N92">
        <f t="shared" si="22"/>
        <v>1.0904171045812112E+89</v>
      </c>
      <c r="O92">
        <v>25.558850360000001</v>
      </c>
      <c r="P92" s="1">
        <f t="shared" si="23"/>
        <v>2.5870631485683866E+93</v>
      </c>
      <c r="Q92" s="1">
        <f t="shared" si="24"/>
        <v>1.0121985582799063E+92</v>
      </c>
    </row>
    <row r="93" spans="1:17" x14ac:dyDescent="0.2">
      <c r="A93">
        <f t="shared" si="25"/>
        <v>92</v>
      </c>
      <c r="B93">
        <v>120</v>
      </c>
      <c r="C93">
        <f t="shared" si="26"/>
        <v>92000</v>
      </c>
      <c r="E93" t="s">
        <v>2</v>
      </c>
      <c r="F93">
        <v>14.86577889</v>
      </c>
      <c r="G93">
        <v>43.429000000000002</v>
      </c>
      <c r="H93">
        <f t="shared" si="18"/>
        <v>0.34230074120979065</v>
      </c>
      <c r="I93">
        <v>250.01841450000001</v>
      </c>
      <c r="J93">
        <f t="shared" si="19"/>
        <v>730.40570586076444</v>
      </c>
      <c r="K93" s="1">
        <v>1.15E-6</v>
      </c>
      <c r="L93" s="1">
        <f t="shared" si="20"/>
        <v>34947.165669078975</v>
      </c>
      <c r="M93" s="1">
        <f t="shared" si="21"/>
        <v>306137171.26113182</v>
      </c>
      <c r="N93">
        <f t="shared" si="22"/>
        <v>1340082079835.373</v>
      </c>
      <c r="O93">
        <v>12.131234790000001</v>
      </c>
      <c r="P93" s="1">
        <f t="shared" si="23"/>
        <v>4.6832070454170696E+16</v>
      </c>
      <c r="Q93" s="1">
        <f t="shared" si="24"/>
        <v>3860453718427347</v>
      </c>
    </row>
    <row r="94" spans="1:17" x14ac:dyDescent="0.2">
      <c r="A94">
        <f t="shared" si="25"/>
        <v>93</v>
      </c>
      <c r="B94">
        <v>120</v>
      </c>
      <c r="C94">
        <f t="shared" si="26"/>
        <v>93000</v>
      </c>
      <c r="E94" t="s">
        <v>2</v>
      </c>
      <c r="F94">
        <v>14.50498456</v>
      </c>
      <c r="G94">
        <v>43.429000000000002</v>
      </c>
      <c r="H94">
        <f t="shared" si="18"/>
        <v>0.33399305901586496</v>
      </c>
      <c r="I94">
        <v>2553.4272850000002</v>
      </c>
      <c r="J94">
        <f t="shared" si="19"/>
        <v>7645.1507481139306</v>
      </c>
      <c r="K94" s="1">
        <v>1.2300000000000001E-6</v>
      </c>
      <c r="L94" s="1">
        <f t="shared" si="20"/>
        <v>31107.412740224263</v>
      </c>
      <c r="M94" s="1">
        <f t="shared" si="21"/>
        <v>272500935.60436451</v>
      </c>
      <c r="N94">
        <f t="shared" si="22"/>
        <v>2.1087319227554915E+126</v>
      </c>
      <c r="O94">
        <v>13.01322993</v>
      </c>
      <c r="P94" s="1">
        <f t="shared" si="23"/>
        <v>6.5597194279641778E+130</v>
      </c>
      <c r="Q94" s="1">
        <f t="shared" si="24"/>
        <v>5.040808057069486E+129</v>
      </c>
    </row>
    <row r="95" spans="1:17" x14ac:dyDescent="0.2">
      <c r="A95">
        <f t="shared" si="25"/>
        <v>94</v>
      </c>
      <c r="B95">
        <v>120</v>
      </c>
      <c r="C95">
        <f t="shared" si="26"/>
        <v>94000</v>
      </c>
      <c r="E95" t="s">
        <v>2</v>
      </c>
      <c r="F95">
        <v>14.32543546</v>
      </c>
      <c r="G95">
        <v>43.429000000000002</v>
      </c>
      <c r="H95">
        <f t="shared" si="18"/>
        <v>0.32985874553869532</v>
      </c>
      <c r="I95">
        <v>532.04238750000002</v>
      </c>
      <c r="J95">
        <f t="shared" si="19"/>
        <v>1612.9400681225436</v>
      </c>
      <c r="K95" s="1">
        <v>1.2699999999999999E-6</v>
      </c>
      <c r="L95" s="1">
        <f t="shared" si="20"/>
        <v>29386.401306195341</v>
      </c>
      <c r="M95" s="1">
        <f t="shared" si="21"/>
        <v>257424875.44227117</v>
      </c>
      <c r="N95">
        <f t="shared" si="22"/>
        <v>5.0369833485618168E+26</v>
      </c>
      <c r="O95">
        <v>14.0625</v>
      </c>
      <c r="P95" s="1">
        <f t="shared" si="23"/>
        <v>1.4801881405346116E+31</v>
      </c>
      <c r="Q95" s="1">
        <f t="shared" si="24"/>
        <v>1.0525782332690572E+30</v>
      </c>
    </row>
    <row r="96" spans="1:17" x14ac:dyDescent="0.2">
      <c r="A96">
        <f t="shared" si="25"/>
        <v>95</v>
      </c>
      <c r="B96">
        <v>120</v>
      </c>
      <c r="C96">
        <f t="shared" si="26"/>
        <v>95000</v>
      </c>
      <c r="E96" t="s">
        <v>2</v>
      </c>
      <c r="F96">
        <v>14.28053193</v>
      </c>
      <c r="G96">
        <v>43.429000000000002</v>
      </c>
      <c r="H96">
        <f t="shared" si="18"/>
        <v>0.32882479288033339</v>
      </c>
      <c r="I96">
        <v>375.46850110000003</v>
      </c>
      <c r="J96">
        <f t="shared" si="19"/>
        <v>1141.8497304022976</v>
      </c>
      <c r="K96" s="1">
        <v>1.28E-6</v>
      </c>
      <c r="L96" s="1">
        <f t="shared" si="20"/>
        <v>28974.320573115932</v>
      </c>
      <c r="M96" s="1">
        <f t="shared" si="21"/>
        <v>253815048.22049558</v>
      </c>
      <c r="N96">
        <f t="shared" si="22"/>
        <v>8.358379059343147E+18</v>
      </c>
      <c r="O96">
        <v>15.157390510000001</v>
      </c>
      <c r="P96" s="1">
        <f t="shared" si="23"/>
        <v>2.4217835433702754E+23</v>
      </c>
      <c r="Q96" s="1">
        <f t="shared" si="24"/>
        <v>1.5977575703235447E+22</v>
      </c>
    </row>
    <row r="97" spans="1:17" x14ac:dyDescent="0.2">
      <c r="A97">
        <f t="shared" si="25"/>
        <v>96</v>
      </c>
      <c r="B97">
        <v>120</v>
      </c>
      <c r="C97">
        <f t="shared" si="26"/>
        <v>96000</v>
      </c>
      <c r="E97" t="s">
        <v>2</v>
      </c>
      <c r="F97">
        <v>13.91847104</v>
      </c>
      <c r="G97">
        <v>43.429000000000002</v>
      </c>
      <c r="H97">
        <f t="shared" si="18"/>
        <v>0.32048794676368325</v>
      </c>
      <c r="I97">
        <v>1347.7422180000001</v>
      </c>
      <c r="J97">
        <f t="shared" si="19"/>
        <v>4205.2820756899746</v>
      </c>
      <c r="K97" s="1">
        <v>1.3799999999999999E-6</v>
      </c>
      <c r="L97" s="1">
        <f t="shared" si="20"/>
        <v>25529.272274735446</v>
      </c>
      <c r="M97" s="1">
        <f t="shared" si="21"/>
        <v>223636425.12668249</v>
      </c>
      <c r="N97">
        <f t="shared" si="22"/>
        <v>3.2707860179165254E+69</v>
      </c>
      <c r="O97">
        <v>17.56006691</v>
      </c>
      <c r="P97" s="1">
        <f t="shared" si="23"/>
        <v>8.3500786803788705E+73</v>
      </c>
      <c r="Q97" s="1">
        <f t="shared" si="24"/>
        <v>4.7551519724698306E+72</v>
      </c>
    </row>
    <row r="98" spans="1:17" x14ac:dyDescent="0.2">
      <c r="A98">
        <f t="shared" si="25"/>
        <v>97</v>
      </c>
      <c r="B98">
        <v>120</v>
      </c>
      <c r="C98">
        <f t="shared" si="26"/>
        <v>97000</v>
      </c>
      <c r="E98" t="s">
        <v>2</v>
      </c>
      <c r="F98">
        <v>13.638444160000001</v>
      </c>
      <c r="G98">
        <v>43.429000000000002</v>
      </c>
      <c r="H98">
        <f t="shared" si="18"/>
        <v>0.31404002302608858</v>
      </c>
      <c r="I98">
        <v>2273.3479900000002</v>
      </c>
      <c r="J98">
        <f t="shared" si="19"/>
        <v>7239.0390501631828</v>
      </c>
      <c r="K98" s="1">
        <v>1.46E-6</v>
      </c>
      <c r="L98" s="1">
        <f t="shared" si="20"/>
        <v>23169.212102290141</v>
      </c>
      <c r="M98" s="1">
        <f t="shared" si="21"/>
        <v>202962298.01606163</v>
      </c>
      <c r="N98">
        <f t="shared" si="22"/>
        <v>4.1408927954868047E+119</v>
      </c>
      <c r="O98">
        <v>19.221411190000001</v>
      </c>
      <c r="P98" s="1">
        <f t="shared" si="23"/>
        <v>9.5941223471478928E+123</v>
      </c>
      <c r="Q98" s="1">
        <f t="shared" si="24"/>
        <v>4.991372512825315E+122</v>
      </c>
    </row>
    <row r="99" spans="1:17" x14ac:dyDescent="0.2">
      <c r="A99">
        <f t="shared" si="25"/>
        <v>98</v>
      </c>
      <c r="B99">
        <v>120</v>
      </c>
      <c r="C99">
        <f t="shared" si="26"/>
        <v>98000</v>
      </c>
      <c r="E99" t="s">
        <v>2</v>
      </c>
      <c r="F99">
        <v>13.44375829</v>
      </c>
      <c r="G99">
        <v>43.429000000000002</v>
      </c>
      <c r="H99">
        <f t="shared" si="18"/>
        <v>0.30955716894241175</v>
      </c>
      <c r="I99">
        <v>502.01586959999997</v>
      </c>
      <c r="J99">
        <f t="shared" si="19"/>
        <v>1621.7226411364168</v>
      </c>
      <c r="K99" s="1">
        <v>1.5200000000000001E-6</v>
      </c>
      <c r="L99" s="1">
        <f t="shared" si="20"/>
        <v>21623.812374584748</v>
      </c>
      <c r="M99" s="1">
        <f t="shared" si="21"/>
        <v>189424596.40136239</v>
      </c>
      <c r="N99">
        <f t="shared" si="22"/>
        <v>7.0341973799018692E+26</v>
      </c>
      <c r="O99">
        <v>20.17563869</v>
      </c>
      <c r="P99" s="1">
        <f t="shared" si="23"/>
        <v>1.5210616434879366E+31</v>
      </c>
      <c r="Q99" s="1">
        <f t="shared" si="24"/>
        <v>7.5391003321339545E+29</v>
      </c>
    </row>
    <row r="100" spans="1:17" x14ac:dyDescent="0.2">
      <c r="A100">
        <f t="shared" si="25"/>
        <v>99</v>
      </c>
      <c r="B100">
        <v>120</v>
      </c>
      <c r="C100">
        <f t="shared" si="26"/>
        <v>99000</v>
      </c>
      <c r="E100" t="s">
        <v>2</v>
      </c>
      <c r="F100">
        <v>13.577934150000001</v>
      </c>
      <c r="G100">
        <v>43.429000000000002</v>
      </c>
      <c r="H100">
        <f t="shared" si="18"/>
        <v>0.31264671417716272</v>
      </c>
      <c r="I100">
        <v>2409.32123</v>
      </c>
      <c r="J100">
        <f t="shared" si="19"/>
        <v>7706.2099831784799</v>
      </c>
      <c r="K100" s="1">
        <v>1.48E-6</v>
      </c>
      <c r="L100" s="1">
        <f t="shared" si="20"/>
        <v>22653.752016771174</v>
      </c>
      <c r="M100" s="1">
        <f t="shared" si="21"/>
        <v>198446867.66691548</v>
      </c>
      <c r="N100">
        <f t="shared" si="22"/>
        <v>2.1498766419853211E+127</v>
      </c>
      <c r="O100">
        <v>19.715632599999999</v>
      </c>
      <c r="P100" s="1">
        <f t="shared" si="23"/>
        <v>4.8702772314184207E+131</v>
      </c>
      <c r="Q100" s="1">
        <f t="shared" si="24"/>
        <v>2.4702617107089027E+130</v>
      </c>
    </row>
    <row r="101" spans="1:17" x14ac:dyDescent="0.2">
      <c r="A101">
        <f t="shared" si="25"/>
        <v>100</v>
      </c>
      <c r="B101">
        <f>3000/25</f>
        <v>120</v>
      </c>
      <c r="C101">
        <f t="shared" si="26"/>
        <v>100000</v>
      </c>
      <c r="E101" t="s">
        <v>2</v>
      </c>
      <c r="F101">
        <v>13.46978988</v>
      </c>
      <c r="G101">
        <v>43.429000000000002</v>
      </c>
      <c r="H101">
        <f t="shared" si="18"/>
        <v>0.31015657463906604</v>
      </c>
      <c r="I101">
        <v>2023.9899190000001</v>
      </c>
      <c r="J101">
        <f t="shared" si="19"/>
        <v>6525.7037396526193</v>
      </c>
      <c r="K101" s="1">
        <v>1.5099999999999999E-6</v>
      </c>
      <c r="L101" s="1">
        <f t="shared" si="20"/>
        <v>21851.39441827856</v>
      </c>
      <c r="M101" s="1">
        <f t="shared" si="21"/>
        <v>191418215.10412019</v>
      </c>
      <c r="N101">
        <f t="shared" si="22"/>
        <v>6.8607906470720337E+107</v>
      </c>
      <c r="O101">
        <v>20.46456813</v>
      </c>
      <c r="P101" s="1">
        <f t="shared" si="23"/>
        <v>1.4991784245040759E+112</v>
      </c>
      <c r="Q101" s="1">
        <f t="shared" si="24"/>
        <v>7.3257271542728422E+110</v>
      </c>
    </row>
    <row r="102" spans="1:17" x14ac:dyDescent="0.2">
      <c r="A102">
        <f t="shared" si="25"/>
        <v>101</v>
      </c>
      <c r="B102">
        <f t="shared" ref="B102:B120" si="31">3000/25</f>
        <v>120</v>
      </c>
      <c r="C102">
        <f t="shared" si="26"/>
        <v>101000</v>
      </c>
      <c r="E102" t="s">
        <v>2</v>
      </c>
      <c r="F102">
        <v>13.280507050000001</v>
      </c>
      <c r="G102">
        <v>43.429000000000002</v>
      </c>
      <c r="H102">
        <f t="shared" si="18"/>
        <v>0.30579813143291351</v>
      </c>
      <c r="I102">
        <v>421.72668670000002</v>
      </c>
      <c r="J102">
        <f t="shared" si="19"/>
        <v>1379.1015815690787</v>
      </c>
      <c r="K102" s="1">
        <v>1.57E-6</v>
      </c>
      <c r="L102" s="1">
        <f t="shared" si="20"/>
        <v>20429.800341042344</v>
      </c>
      <c r="M102" s="1">
        <f t="shared" si="21"/>
        <v>178965050.98753095</v>
      </c>
      <c r="N102">
        <f t="shared" si="22"/>
        <v>6.9236023490178584E+22</v>
      </c>
      <c r="O102">
        <v>21.85218978</v>
      </c>
      <c r="P102" s="1">
        <f t="shared" si="23"/>
        <v>1.4144781363120662E+27</v>
      </c>
      <c r="Q102" s="1">
        <f t="shared" si="24"/>
        <v>6.4729354382902774E+25</v>
      </c>
    </row>
    <row r="103" spans="1:17" x14ac:dyDescent="0.2">
      <c r="A103">
        <f t="shared" si="25"/>
        <v>102</v>
      </c>
      <c r="B103">
        <f t="shared" si="31"/>
        <v>120</v>
      </c>
      <c r="C103">
        <f t="shared" si="26"/>
        <v>102000</v>
      </c>
      <c r="E103" t="s">
        <v>2</v>
      </c>
      <c r="F103">
        <v>13.31798712</v>
      </c>
      <c r="G103">
        <v>43.429000000000002</v>
      </c>
      <c r="H103">
        <f t="shared" si="18"/>
        <v>0.30666115084390611</v>
      </c>
      <c r="I103">
        <v>446.95095679999997</v>
      </c>
      <c r="J103">
        <f t="shared" si="19"/>
        <v>1457.4749868707788</v>
      </c>
      <c r="K103" s="1">
        <v>1.5600000000000001E-6</v>
      </c>
      <c r="L103" s="1">
        <f t="shared" si="20"/>
        <v>20676.976969781899</v>
      </c>
      <c r="M103" s="1">
        <f t="shared" si="21"/>
        <v>181130318.25528944</v>
      </c>
      <c r="N103">
        <f t="shared" si="22"/>
        <v>1.3635387834090382E+24</v>
      </c>
      <c r="O103">
        <v>21.802767639999999</v>
      </c>
      <c r="P103" s="1">
        <f t="shared" si="23"/>
        <v>2.819386002195311E+28</v>
      </c>
      <c r="Q103" s="1">
        <f t="shared" si="24"/>
        <v>1.293132160443146E+27</v>
      </c>
    </row>
    <row r="104" spans="1:17" x14ac:dyDescent="0.2">
      <c r="A104">
        <f t="shared" si="25"/>
        <v>103</v>
      </c>
      <c r="B104">
        <f t="shared" si="31"/>
        <v>120</v>
      </c>
      <c r="C104">
        <f t="shared" si="26"/>
        <v>103000</v>
      </c>
      <c r="E104" t="s">
        <v>2</v>
      </c>
      <c r="F104">
        <v>13.340011560000001</v>
      </c>
      <c r="G104">
        <v>43.429000000000002</v>
      </c>
      <c r="H104">
        <f t="shared" si="18"/>
        <v>0.30716828754979392</v>
      </c>
      <c r="I104">
        <v>315.41848870000001</v>
      </c>
      <c r="J104">
        <f t="shared" si="19"/>
        <v>1026.8588961966611</v>
      </c>
      <c r="K104" s="1">
        <v>1.55E-6</v>
      </c>
      <c r="L104" s="1">
        <f t="shared" si="20"/>
        <v>20879.263489394583</v>
      </c>
      <c r="M104" s="1">
        <f t="shared" si="21"/>
        <v>182902348.16709656</v>
      </c>
      <c r="N104">
        <f t="shared" si="22"/>
        <v>1.0545095196269776E+17</v>
      </c>
      <c r="O104">
        <v>22.650547450000001</v>
      </c>
      <c r="P104" s="1">
        <f t="shared" si="23"/>
        <v>2.2017382112366575E+21</v>
      </c>
      <c r="Q104" s="1">
        <f t="shared" si="24"/>
        <v>9.7204635609664143E+19</v>
      </c>
    </row>
    <row r="105" spans="1:17" x14ac:dyDescent="0.2">
      <c r="A105">
        <f t="shared" si="25"/>
        <v>104</v>
      </c>
      <c r="B105">
        <f t="shared" si="31"/>
        <v>120</v>
      </c>
      <c r="C105">
        <f t="shared" si="26"/>
        <v>104000</v>
      </c>
      <c r="E105" t="s">
        <v>2</v>
      </c>
      <c r="F105">
        <v>13.325376439999999</v>
      </c>
      <c r="G105">
        <v>43.429000000000002</v>
      </c>
      <c r="H105">
        <f t="shared" si="18"/>
        <v>0.30683129798061198</v>
      </c>
      <c r="I105">
        <v>446.95095679999997</v>
      </c>
      <c r="J105">
        <f t="shared" si="19"/>
        <v>1456.666773375387</v>
      </c>
      <c r="K105" s="1">
        <v>1.5600000000000001E-6</v>
      </c>
      <c r="L105" s="1">
        <f t="shared" si="20"/>
        <v>20699.9280636027</v>
      </c>
      <c r="M105" s="1">
        <f t="shared" si="21"/>
        <v>181331369.83715966</v>
      </c>
      <c r="N105">
        <f t="shared" si="22"/>
        <v>1.322269145002326E+24</v>
      </c>
      <c r="O105">
        <v>24.045772509999999</v>
      </c>
      <c r="P105" s="1">
        <f t="shared" si="23"/>
        <v>2.7370876182269597E+28</v>
      </c>
      <c r="Q105" s="1">
        <f t="shared" si="24"/>
        <v>1.1382822560966496E+27</v>
      </c>
    </row>
    <row r="106" spans="1:17" x14ac:dyDescent="0.2">
      <c r="A106">
        <f t="shared" si="25"/>
        <v>105</v>
      </c>
      <c r="B106">
        <f t="shared" si="31"/>
        <v>120</v>
      </c>
      <c r="C106">
        <f t="shared" si="26"/>
        <v>105000</v>
      </c>
      <c r="E106" t="s">
        <v>2</v>
      </c>
      <c r="F106">
        <v>13.31281442</v>
      </c>
      <c r="G106">
        <v>43.429000000000002</v>
      </c>
      <c r="H106">
        <f t="shared" si="18"/>
        <v>0.30654204379562044</v>
      </c>
      <c r="I106">
        <v>1513.7857329999999</v>
      </c>
      <c r="J106">
        <f t="shared" si="19"/>
        <v>4938.2646316838691</v>
      </c>
      <c r="K106" s="1">
        <v>1.5600000000000001E-6</v>
      </c>
      <c r="L106" s="1">
        <f t="shared" si="20"/>
        <v>20660.918232524269</v>
      </c>
      <c r="M106" s="1">
        <f t="shared" si="21"/>
        <v>180989643.7169126</v>
      </c>
      <c r="N106">
        <f t="shared" si="22"/>
        <v>4.16721452372258E+81</v>
      </c>
      <c r="O106">
        <v>25.50182482</v>
      </c>
      <c r="P106" s="1">
        <f t="shared" si="23"/>
        <v>8.6098478532019796E+85</v>
      </c>
      <c r="Q106" s="1">
        <f t="shared" si="24"/>
        <v>3.3761693188518968E+84</v>
      </c>
    </row>
    <row r="107" spans="1:17" x14ac:dyDescent="0.2">
      <c r="A107">
        <f t="shared" si="25"/>
        <v>106</v>
      </c>
      <c r="B107">
        <f t="shared" si="31"/>
        <v>120</v>
      </c>
      <c r="C107">
        <f t="shared" si="26"/>
        <v>106000</v>
      </c>
      <c r="E107" t="s">
        <v>2</v>
      </c>
      <c r="F107">
        <v>13.337267560000001</v>
      </c>
      <c r="G107">
        <v>43.429000000000002</v>
      </c>
      <c r="H107">
        <f t="shared" si="18"/>
        <v>0.30710510396278984</v>
      </c>
      <c r="I107">
        <v>2706.1525969999998</v>
      </c>
      <c r="J107">
        <f t="shared" si="19"/>
        <v>8811.8125100515717</v>
      </c>
      <c r="K107" s="1">
        <v>1.55E-6</v>
      </c>
      <c r="L107" s="1">
        <f t="shared" si="20"/>
        <v>20870.674770218462</v>
      </c>
      <c r="M107" s="1">
        <f t="shared" si="21"/>
        <v>182827110.98711371</v>
      </c>
      <c r="N107">
        <f t="shared" si="22"/>
        <v>3.903187211212349E+145</v>
      </c>
      <c r="O107">
        <v>26.151916060000001</v>
      </c>
      <c r="P107" s="1">
        <f t="shared" si="23"/>
        <v>8.1462150852488935E+149</v>
      </c>
      <c r="Q107" s="1">
        <f t="shared" si="24"/>
        <v>3.114959174142016E+148</v>
      </c>
    </row>
    <row r="108" spans="1:17" x14ac:dyDescent="0.2">
      <c r="A108">
        <f t="shared" si="25"/>
        <v>107</v>
      </c>
      <c r="B108">
        <f t="shared" si="31"/>
        <v>120</v>
      </c>
      <c r="C108">
        <f t="shared" si="26"/>
        <v>107000</v>
      </c>
      <c r="E108" t="s">
        <v>2</v>
      </c>
      <c r="F108">
        <v>13.331241609999999</v>
      </c>
      <c r="G108">
        <v>43.429000000000002</v>
      </c>
      <c r="H108">
        <f t="shared" si="18"/>
        <v>0.30696634990444172</v>
      </c>
      <c r="I108">
        <v>264.97248830000001</v>
      </c>
      <c r="J108">
        <f t="shared" si="19"/>
        <v>863.19718230511467</v>
      </c>
      <c r="K108" s="1">
        <v>1.5600000000000001E-6</v>
      </c>
      <c r="L108" s="1">
        <f t="shared" si="20"/>
        <v>20718.154237797477</v>
      </c>
      <c r="M108" s="1">
        <f t="shared" si="21"/>
        <v>181491031.12310588</v>
      </c>
      <c r="N108">
        <f t="shared" si="22"/>
        <v>209016342612723.66</v>
      </c>
      <c r="O108">
        <v>26.38762165</v>
      </c>
      <c r="P108" s="1">
        <f t="shared" si="23"/>
        <v>4.3304328244707297E+18</v>
      </c>
      <c r="Q108" s="1">
        <f t="shared" si="24"/>
        <v>1.6410849306196301E+17</v>
      </c>
    </row>
    <row r="109" spans="1:17" x14ac:dyDescent="0.2">
      <c r="A109">
        <f t="shared" si="25"/>
        <v>108</v>
      </c>
      <c r="B109">
        <f t="shared" si="31"/>
        <v>120</v>
      </c>
      <c r="C109">
        <f t="shared" si="26"/>
        <v>108000</v>
      </c>
      <c r="E109" t="s">
        <v>2</v>
      </c>
      <c r="F109">
        <v>14.40374853</v>
      </c>
      <c r="G109">
        <v>43.429000000000002</v>
      </c>
      <c r="H109">
        <f t="shared" si="18"/>
        <v>0.33166198922379053</v>
      </c>
      <c r="I109">
        <v>1604.3281179999999</v>
      </c>
      <c r="J109">
        <f t="shared" si="19"/>
        <v>4837.2384238384093</v>
      </c>
      <c r="K109" s="1">
        <v>1.2500000000000001E-6</v>
      </c>
      <c r="L109" s="1">
        <f t="shared" si="20"/>
        <v>30183.910846309951</v>
      </c>
      <c r="M109" s="1">
        <f t="shared" si="21"/>
        <v>264411059.01367518</v>
      </c>
      <c r="N109">
        <f t="shared" si="22"/>
        <v>8.9412832484205911E+79</v>
      </c>
      <c r="O109">
        <v>12.48479319</v>
      </c>
      <c r="P109" s="1">
        <f t="shared" si="23"/>
        <v>2.6988289642193173E+84</v>
      </c>
      <c r="Q109" s="1">
        <f t="shared" si="24"/>
        <v>2.1616929677145235E+83</v>
      </c>
    </row>
    <row r="110" spans="1:17" x14ac:dyDescent="0.2">
      <c r="A110">
        <f t="shared" si="25"/>
        <v>109</v>
      </c>
      <c r="B110">
        <f t="shared" si="31"/>
        <v>120</v>
      </c>
      <c r="C110">
        <f t="shared" si="26"/>
        <v>109000</v>
      </c>
      <c r="E110" t="s">
        <v>2</v>
      </c>
      <c r="F110">
        <v>14.188714340000001</v>
      </c>
      <c r="G110">
        <v>43.429000000000002</v>
      </c>
      <c r="H110">
        <f t="shared" si="18"/>
        <v>0.3267105929217804</v>
      </c>
      <c r="I110">
        <v>446.95095679999997</v>
      </c>
      <c r="J110">
        <f t="shared" si="19"/>
        <v>1368.0332578227942</v>
      </c>
      <c r="K110" s="1">
        <v>1.31E-6</v>
      </c>
      <c r="L110" s="1">
        <f t="shared" si="20"/>
        <v>27947.90485027813</v>
      </c>
      <c r="M110" s="1">
        <f t="shared" si="21"/>
        <v>244823646.48843643</v>
      </c>
      <c r="N110">
        <f t="shared" si="22"/>
        <v>4.5450529701354401E+22</v>
      </c>
      <c r="O110">
        <v>13.40860706</v>
      </c>
      <c r="P110" s="1">
        <f t="shared" si="23"/>
        <v>1.2702470794881928E+27</v>
      </c>
      <c r="Q110" s="1">
        <f t="shared" si="24"/>
        <v>9.473370901273864E+25</v>
      </c>
    </row>
    <row r="111" spans="1:17" x14ac:dyDescent="0.2">
      <c r="A111">
        <f t="shared" si="25"/>
        <v>110</v>
      </c>
      <c r="B111">
        <f t="shared" si="31"/>
        <v>120</v>
      </c>
      <c r="C111">
        <f t="shared" si="26"/>
        <v>110000</v>
      </c>
      <c r="E111" t="s">
        <v>2</v>
      </c>
      <c r="F111">
        <v>14.05965846</v>
      </c>
      <c r="G111">
        <v>43.429000000000002</v>
      </c>
      <c r="H111">
        <f t="shared" si="18"/>
        <v>0.32373894079992627</v>
      </c>
      <c r="I111">
        <v>446.95095679999997</v>
      </c>
      <c r="J111">
        <f t="shared" si="19"/>
        <v>1380.5906564580375</v>
      </c>
      <c r="K111" s="1">
        <v>1.3400000000000001E-6</v>
      </c>
      <c r="L111" s="1">
        <f t="shared" si="20"/>
        <v>26827.438294073541</v>
      </c>
      <c r="M111" s="1">
        <f t="shared" si="21"/>
        <v>235008359.45608422</v>
      </c>
      <c r="N111">
        <f t="shared" si="22"/>
        <v>7.3269657529261167E+22</v>
      </c>
      <c r="O111">
        <v>14.146137469999999</v>
      </c>
      <c r="P111" s="1">
        <f t="shared" si="23"/>
        <v>1.9656372161941549E+27</v>
      </c>
      <c r="Q111" s="1">
        <f t="shared" si="24"/>
        <v>1.3895222072899557E+26</v>
      </c>
    </row>
    <row r="112" spans="1:17" x14ac:dyDescent="0.2">
      <c r="A112">
        <f t="shared" si="25"/>
        <v>111</v>
      </c>
      <c r="B112">
        <f t="shared" si="31"/>
        <v>120</v>
      </c>
      <c r="C112">
        <f t="shared" si="26"/>
        <v>111000</v>
      </c>
      <c r="E112" t="s">
        <v>2</v>
      </c>
      <c r="F112">
        <v>13.70758706</v>
      </c>
      <c r="G112">
        <v>43.429000000000002</v>
      </c>
      <c r="H112">
        <f t="shared" si="18"/>
        <v>0.31563211356466875</v>
      </c>
      <c r="I112">
        <v>446.95095679999997</v>
      </c>
      <c r="J112">
        <f t="shared" si="19"/>
        <v>1416.0503243863548</v>
      </c>
      <c r="K112" s="1">
        <v>1.44E-6</v>
      </c>
      <c r="L112" s="1">
        <f t="shared" si="20"/>
        <v>23729.795466570755</v>
      </c>
      <c r="M112" s="1">
        <f t="shared" si="21"/>
        <v>207873008.2871598</v>
      </c>
      <c r="N112">
        <f t="shared" si="22"/>
        <v>2.8218890836407411E+23</v>
      </c>
      <c r="O112">
        <v>16.427159369999998</v>
      </c>
      <c r="P112" s="1">
        <f t="shared" si="23"/>
        <v>6.6962850784143559E+27</v>
      </c>
      <c r="Q112" s="1">
        <f t="shared" si="24"/>
        <v>4.0763499809001707E+26</v>
      </c>
    </row>
    <row r="113" spans="1:17" x14ac:dyDescent="0.2">
      <c r="A113">
        <f t="shared" si="25"/>
        <v>112</v>
      </c>
      <c r="B113">
        <f t="shared" si="31"/>
        <v>120</v>
      </c>
      <c r="C113">
        <f t="shared" si="26"/>
        <v>112000</v>
      </c>
      <c r="E113" t="s">
        <v>2</v>
      </c>
      <c r="F113">
        <v>13.512775270000001</v>
      </c>
      <c r="G113">
        <v>43.429000000000002</v>
      </c>
      <c r="H113">
        <f t="shared" si="18"/>
        <v>0.31114636003592072</v>
      </c>
      <c r="I113">
        <v>375.46850110000003</v>
      </c>
      <c r="J113">
        <f t="shared" si="19"/>
        <v>1206.726317018954</v>
      </c>
      <c r="K113" s="1">
        <v>1.5E-6</v>
      </c>
      <c r="L113" s="1">
        <f t="shared" si="20"/>
        <v>22137.690450477174</v>
      </c>
      <c r="M113" s="1">
        <f t="shared" si="21"/>
        <v>193926168.34618005</v>
      </c>
      <c r="N113">
        <f t="shared" si="22"/>
        <v>9.8527559070080696E+19</v>
      </c>
      <c r="O113">
        <v>17.54105839</v>
      </c>
      <c r="P113" s="1">
        <f t="shared" si="23"/>
        <v>2.1811726035345511E+24</v>
      </c>
      <c r="Q113" s="1">
        <f t="shared" si="24"/>
        <v>1.2434669305804363E+23</v>
      </c>
    </row>
    <row r="114" spans="1:17" x14ac:dyDescent="0.2">
      <c r="A114">
        <f t="shared" si="25"/>
        <v>113</v>
      </c>
      <c r="B114">
        <f t="shared" si="31"/>
        <v>120</v>
      </c>
      <c r="C114">
        <f t="shared" si="26"/>
        <v>113000</v>
      </c>
      <c r="E114" t="s">
        <v>2</v>
      </c>
      <c r="F114">
        <v>13.405350329999999</v>
      </c>
      <c r="G114">
        <v>43.429000000000002</v>
      </c>
      <c r="H114">
        <f t="shared" si="18"/>
        <v>0.30867278385410668</v>
      </c>
      <c r="I114">
        <v>473.68393809999998</v>
      </c>
      <c r="J114">
        <f t="shared" si="19"/>
        <v>1534.5827778709681</v>
      </c>
      <c r="K114" s="1">
        <v>1.53E-6</v>
      </c>
      <c r="L114" s="1">
        <f t="shared" si="20"/>
        <v>21359.907457411577</v>
      </c>
      <c r="M114" s="1">
        <f t="shared" si="21"/>
        <v>187112789.3269254</v>
      </c>
      <c r="N114">
        <f t="shared" si="22"/>
        <v>2.5591826120198651E+25</v>
      </c>
      <c r="O114">
        <v>18.126520679999999</v>
      </c>
      <c r="P114" s="1">
        <f t="shared" si="23"/>
        <v>5.4663903759361155E+29</v>
      </c>
      <c r="Q114" s="1">
        <f t="shared" si="24"/>
        <v>3.0156865029081333E+28</v>
      </c>
    </row>
    <row r="115" spans="1:17" x14ac:dyDescent="0.2">
      <c r="A115">
        <f t="shared" si="25"/>
        <v>114</v>
      </c>
      <c r="B115">
        <f t="shared" si="31"/>
        <v>120</v>
      </c>
      <c r="C115">
        <f t="shared" si="26"/>
        <v>114000</v>
      </c>
      <c r="E115" t="s">
        <v>2</v>
      </c>
      <c r="F115">
        <v>13.181667879999999</v>
      </c>
      <c r="G115">
        <v>43.429000000000002</v>
      </c>
      <c r="H115">
        <f t="shared" si="18"/>
        <v>0.30352225195146099</v>
      </c>
      <c r="I115">
        <v>473.68393809999998</v>
      </c>
      <c r="J115">
        <f t="shared" si="19"/>
        <v>1560.6234305870632</v>
      </c>
      <c r="K115" s="1">
        <v>1.61E-6</v>
      </c>
      <c r="L115" s="1">
        <f t="shared" si="20"/>
        <v>19626.791800237486</v>
      </c>
      <c r="M115" s="1">
        <f t="shared" si="21"/>
        <v>171930696.17008039</v>
      </c>
      <c r="N115">
        <f t="shared" si="22"/>
        <v>6.8890952186497551E+25</v>
      </c>
      <c r="O115">
        <v>19.2328163</v>
      </c>
      <c r="P115" s="1">
        <f t="shared" si="23"/>
        <v>1.3521083754845028E+30</v>
      </c>
      <c r="Q115" s="1">
        <f t="shared" si="24"/>
        <v>7.0302152029835733E+28</v>
      </c>
    </row>
    <row r="116" spans="1:17" x14ac:dyDescent="0.2">
      <c r="A116">
        <f t="shared" si="25"/>
        <v>115</v>
      </c>
      <c r="B116">
        <f t="shared" si="31"/>
        <v>120</v>
      </c>
      <c r="C116">
        <f t="shared" si="26"/>
        <v>115000</v>
      </c>
      <c r="E116" t="s">
        <v>2</v>
      </c>
      <c r="F116">
        <v>13.15522047</v>
      </c>
      <c r="G116">
        <v>43.429000000000002</v>
      </c>
      <c r="H116">
        <f t="shared" si="18"/>
        <v>0.30291327154666237</v>
      </c>
      <c r="I116">
        <v>375.46850110000003</v>
      </c>
      <c r="J116">
        <f t="shared" si="19"/>
        <v>1239.5247629226469</v>
      </c>
      <c r="K116" s="1">
        <v>1.6199999999999999E-6</v>
      </c>
      <c r="L116" s="1">
        <f t="shared" si="20"/>
        <v>19427.445911809871</v>
      </c>
      <c r="M116" s="1">
        <f t="shared" si="21"/>
        <v>170184426.18745446</v>
      </c>
      <c r="N116">
        <f t="shared" si="22"/>
        <v>3.4294420426983303E+20</v>
      </c>
      <c r="O116">
        <v>20.494981750000001</v>
      </c>
      <c r="P116" s="1">
        <f t="shared" si="23"/>
        <v>6.6625299792208569E+24</v>
      </c>
      <c r="Q116" s="1">
        <f t="shared" si="24"/>
        <v>3.2508103986093361E+23</v>
      </c>
    </row>
    <row r="117" spans="1:17" x14ac:dyDescent="0.2">
      <c r="A117">
        <f t="shared" si="25"/>
        <v>116</v>
      </c>
      <c r="B117">
        <f t="shared" si="31"/>
        <v>120</v>
      </c>
      <c r="C117">
        <f t="shared" si="26"/>
        <v>116000</v>
      </c>
      <c r="E117" t="s">
        <v>2</v>
      </c>
      <c r="F117">
        <v>14.476126239999999</v>
      </c>
      <c r="G117">
        <v>43.429000000000002</v>
      </c>
      <c r="H117">
        <f t="shared" si="18"/>
        <v>0.33332856478390011</v>
      </c>
      <c r="I117">
        <v>502.01586959999997</v>
      </c>
      <c r="J117">
        <f t="shared" si="19"/>
        <v>1506.0691540956334</v>
      </c>
      <c r="K117" s="1">
        <v>1.2300000000000001E-6</v>
      </c>
      <c r="L117" s="1">
        <f t="shared" si="20"/>
        <v>30983.756675290144</v>
      </c>
      <c r="M117" s="1">
        <f t="shared" si="21"/>
        <v>271417708.47554165</v>
      </c>
      <c r="N117">
        <f t="shared" si="22"/>
        <v>8.6536493353229842E+24</v>
      </c>
      <c r="O117">
        <v>12.14644161</v>
      </c>
      <c r="P117" s="1">
        <f t="shared" si="23"/>
        <v>2.6812256535893364E+29</v>
      </c>
      <c r="Q117" s="1">
        <f t="shared" si="24"/>
        <v>2.2074165748937695E+28</v>
      </c>
    </row>
    <row r="118" spans="1:17" x14ac:dyDescent="0.2">
      <c r="A118">
        <f t="shared" si="25"/>
        <v>117</v>
      </c>
      <c r="B118">
        <f t="shared" si="31"/>
        <v>120</v>
      </c>
      <c r="C118">
        <f t="shared" si="26"/>
        <v>117000</v>
      </c>
      <c r="E118" t="s">
        <v>2</v>
      </c>
      <c r="F118">
        <v>14.32076414</v>
      </c>
      <c r="G118">
        <v>43.429000000000002</v>
      </c>
      <c r="H118">
        <f t="shared" si="18"/>
        <v>0.32975118331069098</v>
      </c>
      <c r="I118">
        <v>502.01586959999997</v>
      </c>
      <c r="J118">
        <f t="shared" si="19"/>
        <v>1522.4080913365565</v>
      </c>
      <c r="K118" s="1">
        <v>1.2699999999999999E-6</v>
      </c>
      <c r="L118" s="1">
        <f t="shared" si="20"/>
        <v>29367.239458989545</v>
      </c>
      <c r="M118" s="1">
        <f t="shared" si="21"/>
        <v>257257017.66074842</v>
      </c>
      <c r="N118">
        <f t="shared" si="22"/>
        <v>1.6107811817934805E+25</v>
      </c>
      <c r="O118">
        <v>12.90678224</v>
      </c>
      <c r="P118" s="1">
        <f t="shared" si="23"/>
        <v>4.7304196681763309E+29</v>
      </c>
      <c r="Q118" s="1">
        <f t="shared" si="24"/>
        <v>3.6650650644093696E+28</v>
      </c>
    </row>
    <row r="119" spans="1:17" x14ac:dyDescent="0.2">
      <c r="A119">
        <f t="shared" si="25"/>
        <v>118</v>
      </c>
      <c r="B119">
        <f t="shared" si="31"/>
        <v>120</v>
      </c>
      <c r="C119">
        <f t="shared" si="26"/>
        <v>118000</v>
      </c>
      <c r="E119" t="s">
        <v>2</v>
      </c>
      <c r="F119">
        <v>14.03736206</v>
      </c>
      <c r="G119">
        <v>43.429000000000002</v>
      </c>
      <c r="H119">
        <f t="shared" si="18"/>
        <v>0.32322554191899422</v>
      </c>
      <c r="I119">
        <v>563.86484810000002</v>
      </c>
      <c r="J119">
        <f t="shared" si="19"/>
        <v>1744.4934727383459</v>
      </c>
      <c r="K119" s="1">
        <v>1.35E-6</v>
      </c>
      <c r="L119" s="1">
        <f t="shared" si="20"/>
        <v>26544.32561144284</v>
      </c>
      <c r="M119" s="1">
        <f t="shared" si="21"/>
        <v>232528292.35623929</v>
      </c>
      <c r="N119">
        <f t="shared" si="22"/>
        <v>7.4950170591751563E+28</v>
      </c>
      <c r="O119">
        <v>13.65571776</v>
      </c>
      <c r="P119" s="1">
        <f t="shared" si="23"/>
        <v>1.9895017328206411E+33</v>
      </c>
      <c r="Q119" s="1">
        <f t="shared" si="24"/>
        <v>1.4569001555145213E+32</v>
      </c>
    </row>
    <row r="120" spans="1:17" x14ac:dyDescent="0.2">
      <c r="A120">
        <f t="shared" si="25"/>
        <v>119</v>
      </c>
      <c r="B120">
        <f t="shared" si="31"/>
        <v>120</v>
      </c>
      <c r="C120">
        <f t="shared" si="26"/>
        <v>119000</v>
      </c>
      <c r="E120" t="s">
        <v>2</v>
      </c>
      <c r="F120">
        <v>13.825837829999999</v>
      </c>
      <c r="G120">
        <v>43.429000000000002</v>
      </c>
      <c r="H120">
        <f t="shared" si="18"/>
        <v>0.31835496626678023</v>
      </c>
      <c r="I120">
        <v>473.68393809999998</v>
      </c>
      <c r="J120">
        <f t="shared" si="19"/>
        <v>1487.9112572192596</v>
      </c>
      <c r="K120" s="1">
        <v>1.3999999999999999E-6</v>
      </c>
      <c r="L120" s="1">
        <f t="shared" si="20"/>
        <v>24830.721713947085</v>
      </c>
      <c r="M120" s="1">
        <f t="shared" si="21"/>
        <v>217517122.21417648</v>
      </c>
      <c r="N120">
        <f t="shared" si="22"/>
        <v>4.3383236905358663E+24</v>
      </c>
      <c r="O120">
        <v>14.35142944</v>
      </c>
      <c r="P120" s="1">
        <f t="shared" si="23"/>
        <v>1.0772370826472E+29</v>
      </c>
      <c r="Q120" s="1">
        <f t="shared" si="24"/>
        <v>7.5061309199259804E+27</v>
      </c>
    </row>
    <row r="121" spans="1:17" x14ac:dyDescent="0.2">
      <c r="A121">
        <f t="shared" si="25"/>
        <v>120</v>
      </c>
      <c r="B121">
        <f>3000/25</f>
        <v>120</v>
      </c>
      <c r="C121">
        <f t="shared" si="26"/>
        <v>120000</v>
      </c>
      <c r="E121" t="s">
        <v>2</v>
      </c>
      <c r="F121">
        <v>13.64418249</v>
      </c>
      <c r="G121">
        <v>43.429000000000002</v>
      </c>
      <c r="H121">
        <f t="shared" si="18"/>
        <v>0.3141721543208455</v>
      </c>
      <c r="I121">
        <v>446.95095679999997</v>
      </c>
      <c r="J121">
        <f t="shared" si="19"/>
        <v>1422.6307158449038</v>
      </c>
      <c r="K121" s="1">
        <v>1.46E-6</v>
      </c>
      <c r="L121" s="1">
        <f t="shared" si="20"/>
        <v>23188.712941682326</v>
      </c>
      <c r="M121" s="1">
        <f t="shared" si="21"/>
        <v>203133125.36913717</v>
      </c>
      <c r="N121">
        <f t="shared" si="22"/>
        <v>3.6242236167023882E+23</v>
      </c>
      <c r="O121">
        <v>15.12317518</v>
      </c>
      <c r="P121" s="1">
        <f t="shared" si="23"/>
        <v>8.4041081084177395E+27</v>
      </c>
      <c r="Q121" s="1">
        <f t="shared" si="24"/>
        <v>5.5571055736575416E+26</v>
      </c>
    </row>
    <row r="122" spans="1:17" x14ac:dyDescent="0.2">
      <c r="A122">
        <f t="shared" si="25"/>
        <v>121</v>
      </c>
      <c r="B122">
        <f t="shared" ref="B122:B140" si="32">3000/25</f>
        <v>120</v>
      </c>
      <c r="C122">
        <f t="shared" si="26"/>
        <v>121000</v>
      </c>
      <c r="E122" t="s">
        <v>2</v>
      </c>
      <c r="F122">
        <v>13.48573899</v>
      </c>
      <c r="G122">
        <v>43.429000000000002</v>
      </c>
      <c r="H122">
        <f t="shared" si="18"/>
        <v>0.31052382025835268</v>
      </c>
      <c r="I122">
        <v>473.68393809999998</v>
      </c>
      <c r="J122">
        <f t="shared" si="19"/>
        <v>1525.4351106008542</v>
      </c>
      <c r="K122" s="1">
        <v>1.5099999999999999E-6</v>
      </c>
      <c r="L122" s="1">
        <f t="shared" si="20"/>
        <v>21903.172007357429</v>
      </c>
      <c r="M122" s="1">
        <f t="shared" si="21"/>
        <v>191871786.78445107</v>
      </c>
      <c r="N122">
        <f t="shared" si="22"/>
        <v>1.8072894605031921E+25</v>
      </c>
      <c r="O122">
        <v>16.046989050000001</v>
      </c>
      <c r="P122" s="1">
        <f t="shared" si="23"/>
        <v>3.9585371920485629E+29</v>
      </c>
      <c r="Q122" s="1">
        <f t="shared" si="24"/>
        <v>2.4668410875799551E+28</v>
      </c>
    </row>
    <row r="123" spans="1:17" x14ac:dyDescent="0.2">
      <c r="A123">
        <f t="shared" si="25"/>
        <v>122</v>
      </c>
      <c r="B123">
        <f t="shared" si="32"/>
        <v>120</v>
      </c>
      <c r="C123">
        <f t="shared" si="26"/>
        <v>122000</v>
      </c>
      <c r="E123" t="s">
        <v>2</v>
      </c>
      <c r="F123">
        <v>12.987697669999999</v>
      </c>
      <c r="G123">
        <v>43.429000000000002</v>
      </c>
      <c r="H123">
        <f t="shared" si="18"/>
        <v>0.29905587671832184</v>
      </c>
      <c r="I123">
        <v>446.95095679999997</v>
      </c>
      <c r="J123">
        <f t="shared" si="19"/>
        <v>1494.5399558925212</v>
      </c>
      <c r="K123" s="1">
        <v>1.68E-6</v>
      </c>
      <c r="L123" s="1">
        <f t="shared" si="20"/>
        <v>18259.526885785173</v>
      </c>
      <c r="M123" s="1">
        <f t="shared" si="21"/>
        <v>159953455.51947811</v>
      </c>
      <c r="N123">
        <f t="shared" si="22"/>
        <v>5.5820637462815593E+24</v>
      </c>
      <c r="O123">
        <v>21.25912409</v>
      </c>
      <c r="P123" s="1">
        <f t="shared" si="23"/>
        <v>1.0192584305339484E+29</v>
      </c>
      <c r="Q123" s="1">
        <f t="shared" si="24"/>
        <v>4.7944516726979995E+27</v>
      </c>
    </row>
    <row r="124" spans="1:17" x14ac:dyDescent="0.2">
      <c r="A124">
        <f t="shared" si="25"/>
        <v>123</v>
      </c>
      <c r="B124">
        <f t="shared" si="32"/>
        <v>120</v>
      </c>
      <c r="C124">
        <f t="shared" si="26"/>
        <v>123000</v>
      </c>
      <c r="E124" t="s">
        <v>2</v>
      </c>
      <c r="F124">
        <v>12.970564319999999</v>
      </c>
      <c r="G124">
        <v>43.429000000000002</v>
      </c>
      <c r="H124">
        <f t="shared" si="18"/>
        <v>0.29866136268392085</v>
      </c>
      <c r="I124">
        <v>264.97248830000001</v>
      </c>
      <c r="J124">
        <f t="shared" si="19"/>
        <v>887.20042632506693</v>
      </c>
      <c r="K124" s="1">
        <v>1.68E-6</v>
      </c>
      <c r="L124" s="1">
        <f t="shared" si="20"/>
        <v>18211.382785210873</v>
      </c>
      <c r="M124" s="1">
        <f t="shared" si="21"/>
        <v>159531713.19844726</v>
      </c>
      <c r="N124">
        <f t="shared" si="22"/>
        <v>520706965534931.25</v>
      </c>
      <c r="O124">
        <v>22.285583939999999</v>
      </c>
      <c r="P124" s="1">
        <f t="shared" si="23"/>
        <v>9.482793868282239E+18</v>
      </c>
      <c r="Q124" s="1">
        <f t="shared" si="24"/>
        <v>4.2551247002604858E+17</v>
      </c>
    </row>
    <row r="125" spans="1:17" x14ac:dyDescent="0.2">
      <c r="A125">
        <f t="shared" si="25"/>
        <v>124</v>
      </c>
      <c r="B125">
        <f t="shared" si="32"/>
        <v>120</v>
      </c>
      <c r="C125">
        <f t="shared" si="26"/>
        <v>124000</v>
      </c>
      <c r="E125" t="s">
        <v>2</v>
      </c>
      <c r="F125">
        <v>14.638962279999999</v>
      </c>
      <c r="G125">
        <v>43.429000000000002</v>
      </c>
      <c r="H125">
        <f t="shared" si="18"/>
        <v>0.33707804186142898</v>
      </c>
      <c r="I125">
        <v>563.86484810000002</v>
      </c>
      <c r="J125">
        <f t="shared" si="19"/>
        <v>1672.8020757038867</v>
      </c>
      <c r="K125" s="1">
        <v>1.1999999999999999E-6</v>
      </c>
      <c r="L125" s="1">
        <f t="shared" si="20"/>
        <v>32476.842468884504</v>
      </c>
      <c r="M125" s="1">
        <f t="shared" si="21"/>
        <v>284497140.02742827</v>
      </c>
      <c r="N125">
        <f t="shared" si="22"/>
        <v>4.9067111599222747E+27</v>
      </c>
      <c r="O125">
        <v>12.207268859999999</v>
      </c>
      <c r="P125" s="1">
        <f t="shared" si="23"/>
        <v>1.5935448538111328E+32</v>
      </c>
      <c r="Q125" s="1">
        <f t="shared" si="24"/>
        <v>1.3054065344892657E+31</v>
      </c>
    </row>
    <row r="126" spans="1:17" x14ac:dyDescent="0.2">
      <c r="A126">
        <f t="shared" si="25"/>
        <v>125</v>
      </c>
      <c r="B126">
        <f t="shared" si="32"/>
        <v>120</v>
      </c>
      <c r="C126">
        <f t="shared" si="26"/>
        <v>125000</v>
      </c>
      <c r="E126" t="s">
        <v>2</v>
      </c>
      <c r="F126">
        <v>14.39827564</v>
      </c>
      <c r="G126">
        <v>43.429000000000002</v>
      </c>
      <c r="H126">
        <f t="shared" si="18"/>
        <v>0.33153596997398049</v>
      </c>
      <c r="I126">
        <v>597.59067030000006</v>
      </c>
      <c r="J126">
        <f t="shared" si="19"/>
        <v>1802.4912058468346</v>
      </c>
      <c r="K126" s="1">
        <v>1.2500000000000001E-6</v>
      </c>
      <c r="L126" s="1">
        <f t="shared" si="20"/>
        <v>30160.977671679775</v>
      </c>
      <c r="M126" s="1">
        <f t="shared" si="21"/>
        <v>264210164.40391484</v>
      </c>
      <c r="N126">
        <f t="shared" si="22"/>
        <v>6.8014912635276824E+29</v>
      </c>
      <c r="O126">
        <v>12.686283449999999</v>
      </c>
      <c r="P126" s="1">
        <f t="shared" si="23"/>
        <v>2.051396261333835E+34</v>
      </c>
      <c r="Q126" s="1">
        <f t="shared" si="24"/>
        <v>1.6170190973731042E+33</v>
      </c>
    </row>
    <row r="127" spans="1:17" x14ac:dyDescent="0.2">
      <c r="A127">
        <f t="shared" si="25"/>
        <v>126</v>
      </c>
      <c r="B127">
        <f t="shared" si="32"/>
        <v>120</v>
      </c>
      <c r="C127">
        <f t="shared" si="26"/>
        <v>126000</v>
      </c>
      <c r="E127" t="s">
        <v>2</v>
      </c>
      <c r="F127">
        <v>14.21224977</v>
      </c>
      <c r="G127">
        <v>43.429000000000002</v>
      </c>
      <c r="H127">
        <f t="shared" si="18"/>
        <v>0.32725252181721887</v>
      </c>
      <c r="I127">
        <v>421.72668670000002</v>
      </c>
      <c r="J127">
        <f t="shared" si="19"/>
        <v>1288.6888826957552</v>
      </c>
      <c r="K127" s="1">
        <v>1.3E-6</v>
      </c>
      <c r="L127" s="1">
        <f t="shared" si="20"/>
        <v>28256.39620865781</v>
      </c>
      <c r="M127" s="1">
        <f t="shared" si="21"/>
        <v>247526030.78784242</v>
      </c>
      <c r="N127">
        <f t="shared" si="22"/>
        <v>2.2241702185119732E+21</v>
      </c>
      <c r="O127">
        <v>13.54927007</v>
      </c>
      <c r="P127" s="1">
        <f t="shared" si="23"/>
        <v>6.284703492977133E+25</v>
      </c>
      <c r="Q127" s="1">
        <f t="shared" si="24"/>
        <v>4.6384074274911346E+24</v>
      </c>
    </row>
    <row r="128" spans="1:17" x14ac:dyDescent="0.2">
      <c r="A128">
        <f t="shared" si="25"/>
        <v>127</v>
      </c>
      <c r="B128">
        <f t="shared" si="32"/>
        <v>120</v>
      </c>
      <c r="C128">
        <f t="shared" si="26"/>
        <v>127000</v>
      </c>
      <c r="E128" t="s">
        <v>2</v>
      </c>
      <c r="F128">
        <v>13.89640202</v>
      </c>
      <c r="G128">
        <v>43.429000000000002</v>
      </c>
      <c r="H128">
        <f t="shared" si="18"/>
        <v>0.31997978355476753</v>
      </c>
      <c r="I128">
        <v>563.86484810000002</v>
      </c>
      <c r="J128">
        <f t="shared" si="19"/>
        <v>1762.1889790530761</v>
      </c>
      <c r="K128" s="1">
        <v>1.3799999999999999E-6</v>
      </c>
      <c r="L128" s="1">
        <f t="shared" si="20"/>
        <v>25448.378424730628</v>
      </c>
      <c r="M128" s="1">
        <f t="shared" si="21"/>
        <v>222927795.0006403</v>
      </c>
      <c r="N128">
        <f t="shared" si="22"/>
        <v>1.4689722580853125E+29</v>
      </c>
      <c r="O128">
        <v>14.22977494</v>
      </c>
      <c r="P128" s="1">
        <f t="shared" si="23"/>
        <v>3.7382961919186098E+33</v>
      </c>
      <c r="Q128" s="1">
        <f t="shared" si="24"/>
        <v>2.6270943902353875E+32</v>
      </c>
    </row>
    <row r="129" spans="1:17" x14ac:dyDescent="0.2">
      <c r="A129">
        <f t="shared" si="25"/>
        <v>128</v>
      </c>
      <c r="B129">
        <f t="shared" si="32"/>
        <v>120</v>
      </c>
      <c r="C129">
        <f t="shared" si="26"/>
        <v>128000</v>
      </c>
      <c r="E129" t="s">
        <v>2</v>
      </c>
      <c r="F129">
        <v>13.71045438</v>
      </c>
      <c r="G129">
        <v>43.429000000000002</v>
      </c>
      <c r="H129">
        <f t="shared" si="18"/>
        <v>0.31569813672891384</v>
      </c>
      <c r="I129">
        <v>563.86484810000002</v>
      </c>
      <c r="J129">
        <f t="shared" si="19"/>
        <v>1786.088615987569</v>
      </c>
      <c r="K129" s="1">
        <v>1.44E-6</v>
      </c>
      <c r="L129" s="1">
        <f t="shared" si="20"/>
        <v>23739.723987638219</v>
      </c>
      <c r="M129" s="1">
        <f t="shared" si="21"/>
        <v>207959982.1317108</v>
      </c>
      <c r="N129">
        <f t="shared" si="22"/>
        <v>3.6451522126760667E+29</v>
      </c>
      <c r="O129">
        <v>14.860857660000001</v>
      </c>
      <c r="P129" s="1">
        <f t="shared" si="23"/>
        <v>8.6534907421858558E+33</v>
      </c>
      <c r="Q129" s="1">
        <f t="shared" si="24"/>
        <v>5.8230089676976664E+32</v>
      </c>
    </row>
    <row r="130" spans="1:17" x14ac:dyDescent="0.2">
      <c r="A130">
        <f t="shared" si="25"/>
        <v>129</v>
      </c>
      <c r="B130">
        <f t="shared" si="32"/>
        <v>120</v>
      </c>
      <c r="C130">
        <f t="shared" si="26"/>
        <v>129000</v>
      </c>
      <c r="E130" t="s">
        <v>2</v>
      </c>
      <c r="F130">
        <v>13.556636279999999</v>
      </c>
      <c r="G130">
        <v>43.429000000000002</v>
      </c>
      <c r="H130">
        <f t="shared" si="18"/>
        <v>0.31215630753643875</v>
      </c>
      <c r="I130">
        <v>502.01586959999997</v>
      </c>
      <c r="J130">
        <f t="shared" si="19"/>
        <v>1608.2195281009931</v>
      </c>
      <c r="K130" s="1">
        <v>1.48E-6</v>
      </c>
      <c r="L130" s="1">
        <f t="shared" si="20"/>
        <v>22582.739996507313</v>
      </c>
      <c r="M130" s="1">
        <f t="shared" si="21"/>
        <v>197824802.36940405</v>
      </c>
      <c r="N130">
        <f t="shared" si="22"/>
        <v>4.2093097143347533E+26</v>
      </c>
      <c r="O130">
        <v>15.625</v>
      </c>
      <c r="P130" s="1">
        <f t="shared" si="23"/>
        <v>9.5057746843594207E+30</v>
      </c>
      <c r="Q130" s="1">
        <f t="shared" si="24"/>
        <v>6.083695797990029E+29</v>
      </c>
    </row>
    <row r="131" spans="1:17" x14ac:dyDescent="0.2">
      <c r="A131">
        <f t="shared" si="25"/>
        <v>130</v>
      </c>
      <c r="B131">
        <f t="shared" si="32"/>
        <v>120</v>
      </c>
      <c r="C131">
        <f t="shared" si="26"/>
        <v>130000</v>
      </c>
      <c r="E131" t="s">
        <v>2</v>
      </c>
      <c r="F131">
        <v>13.40149021</v>
      </c>
      <c r="G131">
        <v>43.429000000000002</v>
      </c>
      <c r="H131">
        <f t="shared" ref="H131:H194" si="33">F131/43.429</f>
        <v>0.30858390038914091</v>
      </c>
      <c r="I131">
        <v>532.04238750000002</v>
      </c>
      <c r="J131">
        <f t="shared" ref="J131:J194" si="34">I131/H131</f>
        <v>1724.1417547353117</v>
      </c>
      <c r="K131" s="1">
        <v>1.53E-6</v>
      </c>
      <c r="L131" s="1">
        <f t="shared" ref="L131:L194" si="35">((H131^2)*0.343)/(K131)</f>
        <v>21347.607900474319</v>
      </c>
      <c r="M131" s="1">
        <f t="shared" ref="M131:M194" si="36">L131*8760</f>
        <v>187005045.20815504</v>
      </c>
      <c r="N131">
        <f t="shared" ref="N131:N194" si="37">EXP((J131+3.9052)/(26.297))</f>
        <v>3.4567213259319637E+28</v>
      </c>
      <c r="O131">
        <v>16.210462289999999</v>
      </c>
      <c r="P131" s="1">
        <f t="shared" ref="P131:P194" si="38">L131*N131</f>
        <v>7.3792731487203248E+32</v>
      </c>
      <c r="Q131" s="1">
        <f t="shared" ref="Q131:Q194" si="39">P131/O131</f>
        <v>4.5521669997483614E+31</v>
      </c>
    </row>
    <row r="132" spans="1:17" x14ac:dyDescent="0.2">
      <c r="A132">
        <f t="shared" ref="A132:A195" si="40">A131+1</f>
        <v>131</v>
      </c>
      <c r="B132">
        <f t="shared" si="32"/>
        <v>120</v>
      </c>
      <c r="C132">
        <f t="shared" ref="C132:C195" si="41">C131+1000</f>
        <v>131000</v>
      </c>
      <c r="E132" t="s">
        <v>2</v>
      </c>
      <c r="F132">
        <v>13.20214841</v>
      </c>
      <c r="G132">
        <v>43.429000000000002</v>
      </c>
      <c r="H132">
        <f t="shared" si="33"/>
        <v>0.30399383844896266</v>
      </c>
      <c r="I132">
        <v>753.90905290000001</v>
      </c>
      <c r="J132">
        <f t="shared" si="34"/>
        <v>2480.0142553763417</v>
      </c>
      <c r="K132" s="1">
        <v>1.5999999999999999E-6</v>
      </c>
      <c r="L132" s="1">
        <f t="shared" si="35"/>
        <v>19810.876911576481</v>
      </c>
      <c r="M132" s="1">
        <f t="shared" si="36"/>
        <v>173543281.74540997</v>
      </c>
      <c r="N132">
        <f t="shared" si="37"/>
        <v>1.0516836410913108E+41</v>
      </c>
      <c r="O132">
        <v>17.636100970000001</v>
      </c>
      <c r="P132" s="1">
        <f t="shared" si="38"/>
        <v>2.0834775163578535E+45</v>
      </c>
      <c r="Q132" s="1">
        <f t="shared" si="39"/>
        <v>1.1813708256161415E+44</v>
      </c>
    </row>
    <row r="133" spans="1:17" x14ac:dyDescent="0.2">
      <c r="A133">
        <f t="shared" si="40"/>
        <v>132</v>
      </c>
      <c r="B133">
        <f t="shared" si="32"/>
        <v>120</v>
      </c>
      <c r="C133">
        <f t="shared" si="41"/>
        <v>132000</v>
      </c>
      <c r="E133" t="s">
        <v>2</v>
      </c>
      <c r="F133">
        <v>13.010069870000001</v>
      </c>
      <c r="G133">
        <v>43.429000000000002</v>
      </c>
      <c r="H133">
        <f t="shared" si="33"/>
        <v>0.29957102097676669</v>
      </c>
      <c r="I133">
        <v>532.04238750000002</v>
      </c>
      <c r="J133">
        <f t="shared" si="34"/>
        <v>1776.0142011241558</v>
      </c>
      <c r="K133" s="1">
        <v>1.6700000000000001E-6</v>
      </c>
      <c r="L133" s="1">
        <f t="shared" si="35"/>
        <v>18432.203135873293</v>
      </c>
      <c r="M133" s="1">
        <f t="shared" si="36"/>
        <v>161466099.47025004</v>
      </c>
      <c r="N133">
        <f t="shared" si="37"/>
        <v>2.4850600512734577E+29</v>
      </c>
      <c r="O133">
        <v>20.04638078</v>
      </c>
      <c r="P133" s="1">
        <f t="shared" si="38"/>
        <v>4.5805131669916073E+33</v>
      </c>
      <c r="Q133" s="1">
        <f t="shared" si="39"/>
        <v>2.2849576775282662E+32</v>
      </c>
    </row>
    <row r="134" spans="1:17" x14ac:dyDescent="0.2">
      <c r="A134">
        <f t="shared" si="40"/>
        <v>133</v>
      </c>
      <c r="B134">
        <f t="shared" si="32"/>
        <v>120</v>
      </c>
      <c r="C134">
        <f t="shared" si="41"/>
        <v>133000</v>
      </c>
      <c r="E134" t="s">
        <v>2</v>
      </c>
      <c r="F134">
        <v>14.57071378</v>
      </c>
      <c r="G134">
        <v>43.429000000000002</v>
      </c>
      <c r="H134">
        <f t="shared" si="33"/>
        <v>0.33550654585645534</v>
      </c>
      <c r="I134">
        <v>532.04238750000002</v>
      </c>
      <c r="J134">
        <f t="shared" si="34"/>
        <v>1585.7883968905676</v>
      </c>
      <c r="K134" s="1">
        <v>1.2100000000000001E-6</v>
      </c>
      <c r="L134" s="1">
        <f t="shared" si="35"/>
        <v>31908.820093551829</v>
      </c>
      <c r="M134" s="1">
        <f t="shared" si="36"/>
        <v>279521264.01951402</v>
      </c>
      <c r="N134">
        <f t="shared" si="37"/>
        <v>1.7937468575034837E+26</v>
      </c>
      <c r="O134">
        <v>13.188108270000001</v>
      </c>
      <c r="P134" s="1">
        <f t="shared" si="38"/>
        <v>5.7236345769452613E+30</v>
      </c>
      <c r="Q134" s="1">
        <f t="shared" si="39"/>
        <v>4.3399966543838975E+29</v>
      </c>
    </row>
    <row r="135" spans="1:17" x14ac:dyDescent="0.2">
      <c r="A135">
        <f t="shared" si="40"/>
        <v>134</v>
      </c>
      <c r="B135">
        <f t="shared" si="32"/>
        <v>120</v>
      </c>
      <c r="C135">
        <f t="shared" si="41"/>
        <v>134000</v>
      </c>
      <c r="E135" t="s">
        <v>2</v>
      </c>
      <c r="F135">
        <v>14.32415308</v>
      </c>
      <c r="G135">
        <v>43.429000000000002</v>
      </c>
      <c r="H135">
        <f t="shared" si="33"/>
        <v>0.32982921734324988</v>
      </c>
      <c r="I135">
        <v>446.95095679999997</v>
      </c>
      <c r="J135">
        <f t="shared" si="34"/>
        <v>1355.0981335133288</v>
      </c>
      <c r="K135" s="1">
        <v>1.2699999999999999E-6</v>
      </c>
      <c r="L135" s="1">
        <f t="shared" si="35"/>
        <v>29381.140335707441</v>
      </c>
      <c r="M135" s="1">
        <f t="shared" si="36"/>
        <v>257378789.34079719</v>
      </c>
      <c r="N135">
        <f t="shared" si="37"/>
        <v>2.7791731401015729E+22</v>
      </c>
      <c r="O135">
        <v>13.880018249999999</v>
      </c>
      <c r="P135" s="1">
        <f t="shared" si="38"/>
        <v>8.1655276046553026E+26</v>
      </c>
      <c r="Q135" s="1">
        <f t="shared" si="39"/>
        <v>5.8829372249963027E+25</v>
      </c>
    </row>
    <row r="136" spans="1:17" x14ac:dyDescent="0.2">
      <c r="A136">
        <f t="shared" si="40"/>
        <v>135</v>
      </c>
      <c r="B136">
        <f t="shared" si="32"/>
        <v>120</v>
      </c>
      <c r="C136">
        <f t="shared" si="41"/>
        <v>135000</v>
      </c>
      <c r="E136" t="s">
        <v>2</v>
      </c>
      <c r="F136">
        <v>14.074333899999999</v>
      </c>
      <c r="G136">
        <v>43.429000000000002</v>
      </c>
      <c r="H136">
        <f t="shared" si="33"/>
        <v>0.32407685878099884</v>
      </c>
      <c r="I136">
        <v>563.86484810000002</v>
      </c>
      <c r="J136">
        <f t="shared" si="34"/>
        <v>1739.9108662709007</v>
      </c>
      <c r="K136" s="1">
        <v>1.3400000000000001E-6</v>
      </c>
      <c r="L136" s="1">
        <f t="shared" si="35"/>
        <v>26883.472362906188</v>
      </c>
      <c r="M136" s="1">
        <f t="shared" si="36"/>
        <v>235499217.89905822</v>
      </c>
      <c r="N136">
        <f t="shared" si="37"/>
        <v>6.2963804575605444E+28</v>
      </c>
      <c r="O136">
        <v>14.514902680000001</v>
      </c>
      <c r="P136" s="1">
        <f t="shared" si="38"/>
        <v>1.692685700171715E+33</v>
      </c>
      <c r="Q136" s="1">
        <f t="shared" si="39"/>
        <v>1.1661708917305086E+32</v>
      </c>
    </row>
    <row r="137" spans="1:17" x14ac:dyDescent="0.2">
      <c r="A137">
        <f t="shared" si="40"/>
        <v>136</v>
      </c>
      <c r="B137">
        <f t="shared" si="32"/>
        <v>120</v>
      </c>
      <c r="C137">
        <f t="shared" si="41"/>
        <v>136000</v>
      </c>
      <c r="E137" t="s">
        <v>2</v>
      </c>
      <c r="F137">
        <v>13.851926110000001</v>
      </c>
      <c r="G137">
        <v>43.429000000000002</v>
      </c>
      <c r="H137">
        <f t="shared" si="33"/>
        <v>0.31895567731239494</v>
      </c>
      <c r="I137">
        <v>597.59067030000006</v>
      </c>
      <c r="J137">
        <f t="shared" si="34"/>
        <v>1873.5853060696627</v>
      </c>
      <c r="K137" s="1">
        <v>1.3999999999999999E-6</v>
      </c>
      <c r="L137" s="1">
        <f t="shared" si="35"/>
        <v>24924.517402003112</v>
      </c>
      <c r="M137" s="1">
        <f t="shared" si="36"/>
        <v>218338772.44154724</v>
      </c>
      <c r="N137">
        <f t="shared" si="37"/>
        <v>1.0155982192417824E+31</v>
      </c>
      <c r="O137">
        <v>15.043339420000001</v>
      </c>
      <c r="P137" s="1">
        <f t="shared" si="38"/>
        <v>2.5313295488935175E+35</v>
      </c>
      <c r="Q137" s="1">
        <f t="shared" si="39"/>
        <v>1.6826912417651993E+34</v>
      </c>
    </row>
    <row r="138" spans="1:17" x14ac:dyDescent="0.2">
      <c r="A138">
        <f t="shared" si="40"/>
        <v>137</v>
      </c>
      <c r="B138">
        <f t="shared" si="32"/>
        <v>120</v>
      </c>
      <c r="C138">
        <f t="shared" si="41"/>
        <v>137000</v>
      </c>
      <c r="E138" t="s">
        <v>2</v>
      </c>
      <c r="F138">
        <v>11.735360160000001</v>
      </c>
      <c r="G138">
        <v>43.429000000000002</v>
      </c>
      <c r="H138">
        <f t="shared" si="33"/>
        <v>0.2702194423081351</v>
      </c>
      <c r="I138">
        <v>280.82099360000001</v>
      </c>
      <c r="J138">
        <f t="shared" si="34"/>
        <v>1039.233118095832</v>
      </c>
      <c r="K138" s="1">
        <v>2.2699999999999999E-6</v>
      </c>
      <c r="L138" s="1">
        <f t="shared" si="35"/>
        <v>11033.198952181767</v>
      </c>
      <c r="M138" s="1">
        <f t="shared" si="36"/>
        <v>96650822.821112275</v>
      </c>
      <c r="N138">
        <f t="shared" si="37"/>
        <v>1.6881481483999757E+17</v>
      </c>
      <c r="O138">
        <v>40.168795619999997</v>
      </c>
      <c r="P138" s="1">
        <f t="shared" si="38"/>
        <v>1.86256743820542E+21</v>
      </c>
      <c r="Q138" s="1">
        <f t="shared" si="39"/>
        <v>4.6368515895409369E+19</v>
      </c>
    </row>
    <row r="139" spans="1:17" x14ac:dyDescent="0.2">
      <c r="A139">
        <f t="shared" si="40"/>
        <v>138</v>
      </c>
      <c r="B139">
        <f t="shared" si="32"/>
        <v>120</v>
      </c>
      <c r="C139">
        <f t="shared" si="41"/>
        <v>138000</v>
      </c>
      <c r="E139" t="s">
        <v>2</v>
      </c>
      <c r="F139">
        <v>12.010364320000001</v>
      </c>
      <c r="G139">
        <v>43.429000000000002</v>
      </c>
      <c r="H139">
        <f t="shared" si="33"/>
        <v>0.2765517124502061</v>
      </c>
      <c r="I139">
        <v>1513.7857329999999</v>
      </c>
      <c r="J139">
        <f t="shared" si="34"/>
        <v>5473.7890414349222</v>
      </c>
      <c r="K139" s="1">
        <v>2.1100000000000001E-6</v>
      </c>
      <c r="L139" s="1">
        <f t="shared" si="35"/>
        <v>12432.668925632952</v>
      </c>
      <c r="M139" s="1">
        <f t="shared" si="36"/>
        <v>108910179.78854465</v>
      </c>
      <c r="N139">
        <f t="shared" si="37"/>
        <v>2.9108635690804281E+90</v>
      </c>
      <c r="O139">
        <v>39.632755469999999</v>
      </c>
      <c r="P139" s="1">
        <f t="shared" si="38"/>
        <v>3.6189803042063267E+94</v>
      </c>
      <c r="Q139" s="1">
        <f t="shared" si="39"/>
        <v>9.1312861326175331E+92</v>
      </c>
    </row>
    <row r="140" spans="1:17" x14ac:dyDescent="0.2">
      <c r="A140">
        <f t="shared" si="40"/>
        <v>139</v>
      </c>
      <c r="B140">
        <f t="shared" si="32"/>
        <v>120</v>
      </c>
      <c r="C140">
        <f t="shared" si="41"/>
        <v>139000</v>
      </c>
      <c r="E140" t="s">
        <v>2</v>
      </c>
      <c r="F140">
        <v>12.16896682</v>
      </c>
      <c r="G140">
        <v>43.429000000000002</v>
      </c>
      <c r="H140">
        <f t="shared" si="33"/>
        <v>0.28020370766077962</v>
      </c>
      <c r="I140">
        <v>3039.5539570000001</v>
      </c>
      <c r="J140">
        <f t="shared" si="34"/>
        <v>10847.65787853081</v>
      </c>
      <c r="K140" s="1">
        <v>2.03E-6</v>
      </c>
      <c r="L140" s="1">
        <f t="shared" si="35"/>
        <v>13266.178522605293</v>
      </c>
      <c r="M140" s="1">
        <f t="shared" si="36"/>
        <v>116211723.85802236</v>
      </c>
      <c r="N140">
        <f t="shared" si="37"/>
        <v>1.6344401291589374E+179</v>
      </c>
      <c r="O140">
        <v>39.378041359999997</v>
      </c>
      <c r="P140" s="1">
        <f t="shared" si="38"/>
        <v>2.1682774537932514E+183</v>
      </c>
      <c r="Q140" s="1">
        <f t="shared" si="39"/>
        <v>5.5063110782238551E+181</v>
      </c>
    </row>
    <row r="141" spans="1:17" x14ac:dyDescent="0.2">
      <c r="A141">
        <f t="shared" si="40"/>
        <v>140</v>
      </c>
      <c r="B141">
        <f>3000/25</f>
        <v>120</v>
      </c>
      <c r="C141">
        <f t="shared" si="41"/>
        <v>140000</v>
      </c>
      <c r="E141" t="s">
        <v>2</v>
      </c>
      <c r="F141">
        <v>11.894937369999999</v>
      </c>
      <c r="G141">
        <v>43.429000000000002</v>
      </c>
      <c r="H141">
        <f t="shared" si="33"/>
        <v>0.27389388127748737</v>
      </c>
      <c r="I141">
        <v>297.6174279</v>
      </c>
      <c r="J141">
        <f t="shared" si="34"/>
        <v>1086.615832788458</v>
      </c>
      <c r="K141" s="1">
        <v>2.17E-6</v>
      </c>
      <c r="L141" s="1">
        <f t="shared" si="35"/>
        <v>11857.661457616359</v>
      </c>
      <c r="M141" s="1">
        <f t="shared" si="36"/>
        <v>103873114.36871931</v>
      </c>
      <c r="N141">
        <f t="shared" si="37"/>
        <v>1.0231404089161443E+18</v>
      </c>
      <c r="O141">
        <v>41.37013382</v>
      </c>
      <c r="P141" s="1">
        <f t="shared" si="38"/>
        <v>1.2132052592534806E+22</v>
      </c>
      <c r="Q141" s="1">
        <f t="shared" si="39"/>
        <v>2.9325630526893969E+20</v>
      </c>
    </row>
    <row r="142" spans="1:17" x14ac:dyDescent="0.2">
      <c r="A142">
        <f t="shared" si="40"/>
        <v>141</v>
      </c>
      <c r="B142">
        <f>3000/25</f>
        <v>120</v>
      </c>
      <c r="C142">
        <f t="shared" si="41"/>
        <v>141000</v>
      </c>
      <c r="E142" t="s">
        <v>2</v>
      </c>
      <c r="F142">
        <v>12.25718986</v>
      </c>
      <c r="G142">
        <v>43.429000000000002</v>
      </c>
      <c r="H142">
        <f t="shared" si="33"/>
        <v>0.28223513919270532</v>
      </c>
      <c r="I142">
        <v>2706.1525969999998</v>
      </c>
      <c r="J142">
        <f t="shared" si="34"/>
        <v>9588.2908299107476</v>
      </c>
      <c r="K142" s="1">
        <v>1.9800000000000001E-6</v>
      </c>
      <c r="L142" s="1">
        <f t="shared" si="35"/>
        <v>13799.110662488954</v>
      </c>
      <c r="M142" s="1">
        <f t="shared" si="36"/>
        <v>120880209.40340324</v>
      </c>
      <c r="N142">
        <f t="shared" si="37"/>
        <v>2.5998294881731748E+158</v>
      </c>
      <c r="O142">
        <v>40.537560829999997</v>
      </c>
      <c r="P142" s="1">
        <f t="shared" si="38"/>
        <v>3.5875334810903657E+162</v>
      </c>
      <c r="Q142" s="1">
        <f t="shared" si="39"/>
        <v>8.8498997167964675E+160</v>
      </c>
    </row>
    <row r="143" spans="1:17" x14ac:dyDescent="0.2">
      <c r="A143">
        <f t="shared" si="40"/>
        <v>142</v>
      </c>
      <c r="B143">
        <f t="shared" ref="B143:B145" si="42">3000/24</f>
        <v>125</v>
      </c>
      <c r="C143">
        <f t="shared" si="41"/>
        <v>142000</v>
      </c>
      <c r="E143" t="s">
        <v>2</v>
      </c>
      <c r="F143">
        <v>11.34164326</v>
      </c>
      <c r="G143">
        <v>43.429000000000002</v>
      </c>
      <c r="H143">
        <f t="shared" si="33"/>
        <v>0.26115368210182133</v>
      </c>
      <c r="I143">
        <v>532.04238750000002</v>
      </c>
      <c r="J143">
        <f t="shared" si="34"/>
        <v>2037.2769903836231</v>
      </c>
      <c r="K143" s="1">
        <v>2.52E-6</v>
      </c>
      <c r="L143" s="1">
        <f t="shared" si="35"/>
        <v>9282.9473280322745</v>
      </c>
      <c r="M143" s="1">
        <f t="shared" si="36"/>
        <v>81318618.593562722</v>
      </c>
      <c r="N143">
        <f t="shared" si="37"/>
        <v>5.1296431302250488E+33</v>
      </c>
      <c r="O143">
        <v>45.15663017</v>
      </c>
      <c r="P143" s="1">
        <f t="shared" si="38"/>
        <v>4.7618206989481728E+37</v>
      </c>
      <c r="Q143" s="1">
        <f t="shared" si="39"/>
        <v>1.0545119689005732E+36</v>
      </c>
    </row>
    <row r="144" spans="1:17" x14ac:dyDescent="0.2">
      <c r="A144">
        <f t="shared" si="40"/>
        <v>143</v>
      </c>
      <c r="B144">
        <f t="shared" si="42"/>
        <v>125</v>
      </c>
      <c r="C144">
        <f t="shared" si="41"/>
        <v>143000</v>
      </c>
      <c r="E144" t="s">
        <v>2</v>
      </c>
      <c r="F144">
        <v>12.06378336</v>
      </c>
      <c r="G144">
        <v>43.429000000000002</v>
      </c>
      <c r="H144">
        <f t="shared" si="33"/>
        <v>0.27778174399594741</v>
      </c>
      <c r="I144">
        <v>1068.2961989999999</v>
      </c>
      <c r="J144">
        <f t="shared" si="34"/>
        <v>3845.8114044225504</v>
      </c>
      <c r="K144" s="1">
        <v>2.08E-6</v>
      </c>
      <c r="L144" s="1">
        <f t="shared" si="35"/>
        <v>12724.42556395121</v>
      </c>
      <c r="M144" s="1">
        <f t="shared" si="36"/>
        <v>111465967.94021261</v>
      </c>
      <c r="N144">
        <f t="shared" si="37"/>
        <v>3.7844298872140359E+63</v>
      </c>
      <c r="O144">
        <v>42.769160579999998</v>
      </c>
      <c r="P144" s="1">
        <f t="shared" si="38"/>
        <v>4.8154696401847273E+67</v>
      </c>
      <c r="Q144" s="1">
        <f t="shared" si="39"/>
        <v>1.1259210082408234E+66</v>
      </c>
    </row>
    <row r="145" spans="1:17" x14ac:dyDescent="0.2">
      <c r="A145">
        <f t="shared" si="40"/>
        <v>144</v>
      </c>
      <c r="B145">
        <f t="shared" si="42"/>
        <v>125</v>
      </c>
      <c r="C145">
        <f t="shared" si="41"/>
        <v>144000</v>
      </c>
      <c r="E145" t="s">
        <v>2</v>
      </c>
      <c r="F145">
        <v>11.27865759</v>
      </c>
      <c r="G145">
        <v>43.429000000000002</v>
      </c>
      <c r="H145">
        <f t="shared" si="33"/>
        <v>0.25970336848649517</v>
      </c>
      <c r="I145">
        <v>297.6174279</v>
      </c>
      <c r="J145">
        <f t="shared" si="34"/>
        <v>1145.9898638760876</v>
      </c>
      <c r="K145" s="1">
        <v>2.57E-6</v>
      </c>
      <c r="L145" s="1">
        <f t="shared" si="35"/>
        <v>9001.5264528827538</v>
      </c>
      <c r="M145" s="1">
        <f t="shared" si="36"/>
        <v>78853371.72725293</v>
      </c>
      <c r="N145">
        <f t="shared" si="37"/>
        <v>9.783546031518761E+18</v>
      </c>
      <c r="O145">
        <v>51.54349148</v>
      </c>
      <c r="P145" s="1">
        <f t="shared" si="38"/>
        <v>8.8066848405712219E+22</v>
      </c>
      <c r="Q145" s="1">
        <f t="shared" si="39"/>
        <v>1.7085929935476737E+21</v>
      </c>
    </row>
    <row r="146" spans="1:17" x14ac:dyDescent="0.2">
      <c r="A146">
        <f t="shared" si="40"/>
        <v>145</v>
      </c>
      <c r="B146">
        <f t="shared" ref="B146:B150" si="43">3000/24</f>
        <v>125</v>
      </c>
      <c r="C146">
        <f t="shared" si="41"/>
        <v>145000</v>
      </c>
      <c r="E146" t="s">
        <v>2</v>
      </c>
      <c r="F146">
        <v>11.38102052</v>
      </c>
      <c r="G146">
        <v>43.429000000000002</v>
      </c>
      <c r="H146">
        <f t="shared" si="33"/>
        <v>0.26206038637776602</v>
      </c>
      <c r="I146">
        <v>446.95095679999997</v>
      </c>
      <c r="J146">
        <f t="shared" si="34"/>
        <v>1705.5265886531586</v>
      </c>
      <c r="K146" s="1">
        <v>2.4899999999999999E-6</v>
      </c>
      <c r="L146" s="1">
        <f t="shared" si="35"/>
        <v>9460.1392028928349</v>
      </c>
      <c r="M146" s="1">
        <f t="shared" si="36"/>
        <v>82870819.417341232</v>
      </c>
      <c r="N146">
        <f t="shared" si="37"/>
        <v>1.7030807339805537E+28</v>
      </c>
      <c r="O146">
        <v>51.361009729999999</v>
      </c>
      <c r="P146" s="1">
        <f t="shared" si="38"/>
        <v>1.611138081722094E+32</v>
      </c>
      <c r="Q146" s="1">
        <f t="shared" si="39"/>
        <v>3.136889422913793E+30</v>
      </c>
    </row>
    <row r="147" spans="1:17" x14ac:dyDescent="0.2">
      <c r="A147">
        <f t="shared" si="40"/>
        <v>146</v>
      </c>
      <c r="B147">
        <f t="shared" si="43"/>
        <v>125</v>
      </c>
      <c r="C147">
        <f t="shared" si="41"/>
        <v>146000</v>
      </c>
      <c r="E147" t="s">
        <v>2</v>
      </c>
      <c r="F147">
        <v>11.63482658</v>
      </c>
      <c r="G147">
        <v>43.429000000000002</v>
      </c>
      <c r="H147">
        <f t="shared" si="33"/>
        <v>0.26790454719196849</v>
      </c>
      <c r="I147">
        <v>1271.6805979999999</v>
      </c>
      <c r="J147">
        <f t="shared" si="34"/>
        <v>4746.7675010710818</v>
      </c>
      <c r="K147" s="1">
        <v>2.3300000000000001E-6</v>
      </c>
      <c r="L147" s="1">
        <f t="shared" si="35"/>
        <v>10565.702282104656</v>
      </c>
      <c r="M147" s="1">
        <f t="shared" si="36"/>
        <v>92555551.991236791</v>
      </c>
      <c r="N147">
        <f t="shared" si="37"/>
        <v>2.8659868349216309E+78</v>
      </c>
      <c r="O147">
        <v>49.007755469999999</v>
      </c>
      <c r="P147" s="1">
        <f t="shared" si="38"/>
        <v>3.0281163642213373E+82</v>
      </c>
      <c r="Q147" s="1">
        <f t="shared" si="39"/>
        <v>6.1788513576692835E+80</v>
      </c>
    </row>
    <row r="148" spans="1:17" x14ac:dyDescent="0.2">
      <c r="A148">
        <f t="shared" si="40"/>
        <v>147</v>
      </c>
      <c r="B148">
        <f t="shared" si="43"/>
        <v>125</v>
      </c>
      <c r="C148">
        <f t="shared" si="41"/>
        <v>147000</v>
      </c>
      <c r="E148" t="s">
        <v>3</v>
      </c>
      <c r="F148">
        <v>23.00022555</v>
      </c>
      <c r="G148">
        <v>43.429000000000002</v>
      </c>
      <c r="H148">
        <f t="shared" si="33"/>
        <v>0.52960523037601603</v>
      </c>
      <c r="I148">
        <v>671.21458289999998</v>
      </c>
      <c r="J148">
        <f t="shared" si="34"/>
        <v>1267.3866200744321</v>
      </c>
      <c r="K148" s="1">
        <v>1.8899999999999999E-6</v>
      </c>
      <c r="L148" s="1">
        <f t="shared" si="35"/>
        <v>50902.23445200007</v>
      </c>
      <c r="M148" s="1">
        <f t="shared" si="36"/>
        <v>445903573.79952061</v>
      </c>
      <c r="N148">
        <f t="shared" si="37"/>
        <v>9.8937637853652176E+20</v>
      </c>
      <c r="O148">
        <v>12.252889290000001</v>
      </c>
      <c r="P148" s="1">
        <f t="shared" si="38"/>
        <v>5.0361468381536804E+25</v>
      </c>
      <c r="Q148" s="1">
        <f t="shared" si="39"/>
        <v>4.1101708494696437E+24</v>
      </c>
    </row>
    <row r="149" spans="1:17" x14ac:dyDescent="0.2">
      <c r="A149">
        <f t="shared" si="40"/>
        <v>148</v>
      </c>
      <c r="B149">
        <f t="shared" si="43"/>
        <v>125</v>
      </c>
      <c r="C149">
        <f t="shared" si="41"/>
        <v>148000</v>
      </c>
      <c r="E149" t="s">
        <v>3</v>
      </c>
      <c r="F149">
        <v>22.991135929999999</v>
      </c>
      <c r="G149">
        <v>43.429000000000002</v>
      </c>
      <c r="H149">
        <f t="shared" si="33"/>
        <v>0.52939593198093438</v>
      </c>
      <c r="I149">
        <v>633.33369760000005</v>
      </c>
      <c r="J149">
        <f t="shared" si="34"/>
        <v>1196.3327621920769</v>
      </c>
      <c r="K149" s="1">
        <v>1.8899999999999999E-6</v>
      </c>
      <c r="L149" s="1">
        <f t="shared" si="35"/>
        <v>50862.009581852391</v>
      </c>
      <c r="M149" s="1">
        <f t="shared" si="36"/>
        <v>445551203.93702698</v>
      </c>
      <c r="N149">
        <f t="shared" si="37"/>
        <v>6.6360301832165532E+19</v>
      </c>
      <c r="O149">
        <v>11.61800487</v>
      </c>
      <c r="P149" s="1">
        <f t="shared" si="38"/>
        <v>3.3752183076422199E+24</v>
      </c>
      <c r="Q149" s="1">
        <f t="shared" si="39"/>
        <v>2.9051617256227057E+23</v>
      </c>
    </row>
    <row r="150" spans="1:17" x14ac:dyDescent="0.2">
      <c r="A150">
        <f t="shared" si="40"/>
        <v>149</v>
      </c>
      <c r="B150">
        <f t="shared" si="43"/>
        <v>125</v>
      </c>
      <c r="C150">
        <f t="shared" si="41"/>
        <v>149000</v>
      </c>
      <c r="E150" t="s">
        <v>3</v>
      </c>
      <c r="F150">
        <v>22.805219739999998</v>
      </c>
      <c r="G150">
        <v>43.429000000000002</v>
      </c>
      <c r="H150">
        <f t="shared" si="33"/>
        <v>0.52511500932556576</v>
      </c>
      <c r="I150">
        <v>633.33369760000005</v>
      </c>
      <c r="J150">
        <f t="shared" si="34"/>
        <v>1206.085688568349</v>
      </c>
      <c r="K150" s="1">
        <v>1.9300000000000002E-6</v>
      </c>
      <c r="L150" s="1">
        <f t="shared" si="35"/>
        <v>49005.595930317737</v>
      </c>
      <c r="M150" s="1">
        <f t="shared" si="36"/>
        <v>429289020.34958339</v>
      </c>
      <c r="N150">
        <f t="shared" si="37"/>
        <v>9.6156302786201567E+19</v>
      </c>
      <c r="O150">
        <v>10.876672749999999</v>
      </c>
      <c r="P150" s="1">
        <f t="shared" si="38"/>
        <v>4.7121969204938799E+24</v>
      </c>
      <c r="Q150" s="1">
        <f t="shared" si="39"/>
        <v>4.3323882485053898E+23</v>
      </c>
    </row>
    <row r="151" spans="1:17" x14ac:dyDescent="0.2">
      <c r="A151">
        <f t="shared" si="40"/>
        <v>150</v>
      </c>
      <c r="B151">
        <f t="shared" ref="B151:B160" si="44">3000/24</f>
        <v>125</v>
      </c>
      <c r="C151">
        <f t="shared" si="41"/>
        <v>150000</v>
      </c>
      <c r="E151" t="s">
        <v>3</v>
      </c>
      <c r="F151">
        <v>22.69651708</v>
      </c>
      <c r="G151">
        <v>43.429000000000002</v>
      </c>
      <c r="H151">
        <f t="shared" si="33"/>
        <v>0.52261201224987908</v>
      </c>
      <c r="I151">
        <v>753.90905290000001</v>
      </c>
      <c r="J151">
        <f t="shared" si="34"/>
        <v>1442.5788830501081</v>
      </c>
      <c r="K151" s="1">
        <v>1.9599999999999999E-6</v>
      </c>
      <c r="L151" s="1">
        <f t="shared" si="35"/>
        <v>47796.580185876868</v>
      </c>
      <c r="M151" s="1">
        <f t="shared" si="36"/>
        <v>418698042.42828137</v>
      </c>
      <c r="N151">
        <f t="shared" si="37"/>
        <v>7.7385324590656983E+23</v>
      </c>
      <c r="O151">
        <v>10.736009729999999</v>
      </c>
      <c r="P151" s="1">
        <f t="shared" si="38"/>
        <v>3.6987538720074455E+28</v>
      </c>
      <c r="Q151" s="1">
        <f t="shared" si="39"/>
        <v>3.4451849104345456E+27</v>
      </c>
    </row>
    <row r="152" spans="1:17" x14ac:dyDescent="0.2">
      <c r="A152">
        <f t="shared" si="40"/>
        <v>151</v>
      </c>
      <c r="B152">
        <f t="shared" si="44"/>
        <v>125</v>
      </c>
      <c r="C152">
        <f t="shared" si="41"/>
        <v>151000</v>
      </c>
      <c r="E152" t="s">
        <v>3</v>
      </c>
      <c r="F152">
        <v>22.892144559999998</v>
      </c>
      <c r="G152">
        <v>43.429000000000002</v>
      </c>
      <c r="H152">
        <f t="shared" si="33"/>
        <v>0.52711654792880325</v>
      </c>
      <c r="I152">
        <v>597.59067030000006</v>
      </c>
      <c r="J152">
        <f t="shared" si="34"/>
        <v>1133.6974197606023</v>
      </c>
      <c r="K152" s="1">
        <v>1.9099999999999999E-6</v>
      </c>
      <c r="L152" s="1">
        <f t="shared" si="35"/>
        <v>49896.956177711931</v>
      </c>
      <c r="M152" s="1">
        <f t="shared" si="36"/>
        <v>437097336.1167565</v>
      </c>
      <c r="N152">
        <f t="shared" si="37"/>
        <v>6.1303715812586598E+18</v>
      </c>
      <c r="O152">
        <v>10.25319343</v>
      </c>
      <c r="P152" s="1">
        <f t="shared" si="38"/>
        <v>3.0588688214315393E+23</v>
      </c>
      <c r="Q152" s="1">
        <f t="shared" si="39"/>
        <v>2.9833327951090253E+22</v>
      </c>
    </row>
    <row r="153" spans="1:17" x14ac:dyDescent="0.2">
      <c r="A153">
        <f t="shared" si="40"/>
        <v>152</v>
      </c>
      <c r="B153">
        <f t="shared" si="44"/>
        <v>125</v>
      </c>
      <c r="C153">
        <f t="shared" si="41"/>
        <v>152000</v>
      </c>
      <c r="E153" t="s">
        <v>3</v>
      </c>
      <c r="F153">
        <v>23.05553596</v>
      </c>
      <c r="G153">
        <v>43.429000000000002</v>
      </c>
      <c r="H153">
        <f t="shared" si="33"/>
        <v>0.53087881277487392</v>
      </c>
      <c r="I153">
        <v>473.68393809999998</v>
      </c>
      <c r="J153">
        <f t="shared" si="34"/>
        <v>892.26378356310829</v>
      </c>
      <c r="K153" s="1">
        <v>1.88E-6</v>
      </c>
      <c r="L153" s="1">
        <f t="shared" si="35"/>
        <v>51419.406197695782</v>
      </c>
      <c r="M153" s="1">
        <f t="shared" si="36"/>
        <v>450433998.29181504</v>
      </c>
      <c r="N153">
        <f t="shared" si="37"/>
        <v>631269259071189.75</v>
      </c>
      <c r="O153">
        <v>8.7173053530000004</v>
      </c>
      <c r="P153" s="1">
        <f t="shared" si="38"/>
        <v>3.245949045229996E+19</v>
      </c>
      <c r="Q153" s="1">
        <f t="shared" si="39"/>
        <v>3.7235692840711665E+18</v>
      </c>
    </row>
    <row r="154" spans="1:17" x14ac:dyDescent="0.2">
      <c r="A154">
        <f t="shared" si="40"/>
        <v>153</v>
      </c>
      <c r="B154">
        <f t="shared" si="44"/>
        <v>125</v>
      </c>
      <c r="C154">
        <f t="shared" si="41"/>
        <v>153000</v>
      </c>
      <c r="E154" t="s">
        <v>3</v>
      </c>
      <c r="F154">
        <v>22.546773869999999</v>
      </c>
      <c r="G154">
        <v>43.429000000000002</v>
      </c>
      <c r="H154">
        <f t="shared" si="33"/>
        <v>0.5191640118354095</v>
      </c>
      <c r="I154">
        <v>711.36119550000001</v>
      </c>
      <c r="J154">
        <f t="shared" si="34"/>
        <v>1370.205136109324</v>
      </c>
      <c r="K154" s="1">
        <v>1.9999999999999999E-6</v>
      </c>
      <c r="L154" s="1">
        <f t="shared" si="35"/>
        <v>46224.613008233893</v>
      </c>
      <c r="M154" s="1">
        <f t="shared" si="36"/>
        <v>404927609.95212889</v>
      </c>
      <c r="N154">
        <f t="shared" si="37"/>
        <v>4.9363674492582542E+22</v>
      </c>
      <c r="O154">
        <v>10.462287099999999</v>
      </c>
      <c r="P154" s="1">
        <f t="shared" si="38"/>
        <v>2.2818167500840545E+27</v>
      </c>
      <c r="Q154" s="1">
        <f t="shared" si="39"/>
        <v>2.1809922899975231E+26</v>
      </c>
    </row>
    <row r="155" spans="1:17" x14ac:dyDescent="0.2">
      <c r="A155">
        <f t="shared" si="40"/>
        <v>154</v>
      </c>
      <c r="B155">
        <f t="shared" si="44"/>
        <v>125</v>
      </c>
      <c r="C155">
        <f t="shared" si="41"/>
        <v>154000</v>
      </c>
      <c r="E155" t="s">
        <v>3</v>
      </c>
      <c r="F155">
        <v>22.61933513</v>
      </c>
      <c r="G155">
        <v>43.429000000000002</v>
      </c>
      <c r="H155">
        <f t="shared" si="33"/>
        <v>0.52083481383407393</v>
      </c>
      <c r="I155">
        <v>633.33369760000005</v>
      </c>
      <c r="J155">
        <f t="shared" si="34"/>
        <v>1215.9972428451483</v>
      </c>
      <c r="K155" s="1">
        <v>1.9800000000000001E-6</v>
      </c>
      <c r="L155" s="1">
        <f t="shared" si="35"/>
        <v>46992.542339616179</v>
      </c>
      <c r="M155" s="1">
        <f t="shared" si="36"/>
        <v>411654670.89503771</v>
      </c>
      <c r="N155">
        <f t="shared" si="37"/>
        <v>1.4017381614729311E+20</v>
      </c>
      <c r="O155">
        <v>10.656173969999999</v>
      </c>
      <c r="P155" s="1">
        <f t="shared" si="38"/>
        <v>6.5871239902072455E+24</v>
      </c>
      <c r="Q155" s="1">
        <f t="shared" si="39"/>
        <v>6.1815094317639468E+23</v>
      </c>
    </row>
    <row r="156" spans="1:17" x14ac:dyDescent="0.2">
      <c r="A156">
        <f t="shared" si="40"/>
        <v>155</v>
      </c>
      <c r="B156">
        <f t="shared" si="44"/>
        <v>125</v>
      </c>
      <c r="C156">
        <f t="shared" si="41"/>
        <v>155000</v>
      </c>
      <c r="E156" t="s">
        <v>3</v>
      </c>
      <c r="F156">
        <v>22.739369140000001</v>
      </c>
      <c r="G156">
        <v>43.429000000000002</v>
      </c>
      <c r="H156">
        <f t="shared" si="33"/>
        <v>0.52359872757834625</v>
      </c>
      <c r="I156">
        <v>951.11735910000004</v>
      </c>
      <c r="J156">
        <f t="shared" si="34"/>
        <v>1816.5005165290133</v>
      </c>
      <c r="K156" s="1">
        <v>1.95E-6</v>
      </c>
      <c r="L156" s="1">
        <f t="shared" si="35"/>
        <v>48223.271917913073</v>
      </c>
      <c r="M156" s="1">
        <f t="shared" si="36"/>
        <v>422435862.00091851</v>
      </c>
      <c r="N156">
        <f t="shared" si="37"/>
        <v>1.1586910661209131E+30</v>
      </c>
      <c r="O156">
        <v>9.9224452549999995</v>
      </c>
      <c r="P156" s="1">
        <f t="shared" si="38"/>
        <v>5.5875874350405383E+34</v>
      </c>
      <c r="Q156" s="1">
        <f t="shared" si="39"/>
        <v>5.6312605325032238E+33</v>
      </c>
    </row>
    <row r="157" spans="1:17" x14ac:dyDescent="0.2">
      <c r="A157">
        <f t="shared" si="40"/>
        <v>156</v>
      </c>
      <c r="B157">
        <f t="shared" si="44"/>
        <v>125</v>
      </c>
      <c r="C157">
        <f t="shared" si="41"/>
        <v>156000</v>
      </c>
      <c r="E157" t="s">
        <v>3</v>
      </c>
      <c r="F157">
        <v>22.7223191</v>
      </c>
      <c r="G157">
        <v>43.429000000000002</v>
      </c>
      <c r="H157">
        <f t="shared" si="33"/>
        <v>0.52320613184738307</v>
      </c>
      <c r="I157">
        <v>1271.6805979999999</v>
      </c>
      <c r="J157">
        <f t="shared" si="34"/>
        <v>2430.5536968954016</v>
      </c>
      <c r="K157" s="1">
        <v>1.95E-6</v>
      </c>
      <c r="L157" s="1">
        <f t="shared" si="35"/>
        <v>48150.983151859749</v>
      </c>
      <c r="M157" s="1">
        <f t="shared" si="36"/>
        <v>421802612.41029143</v>
      </c>
      <c r="N157">
        <f t="shared" si="37"/>
        <v>1.6034110972752421E+40</v>
      </c>
      <c r="O157">
        <v>11.84610706</v>
      </c>
      <c r="P157" s="1">
        <f t="shared" si="38"/>
        <v>7.720582073040513E+44</v>
      </c>
      <c r="Q157" s="1">
        <f t="shared" si="39"/>
        <v>6.517400217587189E+43</v>
      </c>
    </row>
    <row r="158" spans="1:17" x14ac:dyDescent="0.2">
      <c r="A158">
        <f t="shared" si="40"/>
        <v>157</v>
      </c>
      <c r="B158">
        <f t="shared" si="44"/>
        <v>125</v>
      </c>
      <c r="C158">
        <f t="shared" si="41"/>
        <v>157000</v>
      </c>
      <c r="E158" t="s">
        <v>3</v>
      </c>
      <c r="F158">
        <v>22.797960159999999</v>
      </c>
      <c r="G158">
        <v>43.429000000000002</v>
      </c>
      <c r="H158">
        <f t="shared" si="33"/>
        <v>0.52494784959358953</v>
      </c>
      <c r="I158">
        <v>1801.9833349999999</v>
      </c>
      <c r="J158">
        <f t="shared" si="34"/>
        <v>3432.6901927402523</v>
      </c>
      <c r="K158" s="1">
        <v>1.9400000000000001E-6</v>
      </c>
      <c r="L158" s="1">
        <f t="shared" si="35"/>
        <v>48721.955651534197</v>
      </c>
      <c r="M158" s="1">
        <f t="shared" si="36"/>
        <v>426804331.50743955</v>
      </c>
      <c r="N158">
        <f t="shared" si="37"/>
        <v>5.6926054593753889E+56</v>
      </c>
      <c r="O158">
        <v>13.089263989999999</v>
      </c>
      <c r="P158" s="1">
        <f t="shared" si="38"/>
        <v>2.7735487073336914E+61</v>
      </c>
      <c r="Q158" s="1">
        <f t="shared" si="39"/>
        <v>2.1189493232412767E+60</v>
      </c>
    </row>
    <row r="159" spans="1:17" x14ac:dyDescent="0.2">
      <c r="A159">
        <f t="shared" si="40"/>
        <v>158</v>
      </c>
      <c r="B159">
        <f t="shared" si="44"/>
        <v>125</v>
      </c>
      <c r="C159">
        <f t="shared" si="41"/>
        <v>158000</v>
      </c>
      <c r="E159" t="s">
        <v>3</v>
      </c>
      <c r="F159">
        <v>22.49329165</v>
      </c>
      <c r="G159">
        <v>43.429000000000002</v>
      </c>
      <c r="H159">
        <f t="shared" si="33"/>
        <v>0.51793252550139302</v>
      </c>
      <c r="I159">
        <v>1700.2860149999999</v>
      </c>
      <c r="J159">
        <f t="shared" si="34"/>
        <v>3282.8330550471037</v>
      </c>
      <c r="K159" s="1">
        <v>2.0099999999999998E-6</v>
      </c>
      <c r="L159" s="1">
        <f t="shared" si="35"/>
        <v>45776.694842528428</v>
      </c>
      <c r="M159" s="1">
        <f t="shared" si="36"/>
        <v>401003846.82054901</v>
      </c>
      <c r="N159">
        <f t="shared" si="37"/>
        <v>1.9073181958235778E+54</v>
      </c>
      <c r="O159">
        <v>9.4206204380000003</v>
      </c>
      <c r="P159" s="1">
        <f t="shared" si="38"/>
        <v>8.7310723017817804E+58</v>
      </c>
      <c r="Q159" s="1">
        <f t="shared" si="39"/>
        <v>9.2680438186037239E+57</v>
      </c>
    </row>
    <row r="160" spans="1:17" x14ac:dyDescent="0.2">
      <c r="A160">
        <f t="shared" si="40"/>
        <v>159</v>
      </c>
      <c r="B160">
        <f t="shared" si="44"/>
        <v>125</v>
      </c>
      <c r="C160">
        <f t="shared" si="41"/>
        <v>159000</v>
      </c>
      <c r="E160" t="s">
        <v>3</v>
      </c>
      <c r="F160">
        <v>22.485607309999999</v>
      </c>
      <c r="G160">
        <v>43.429000000000002</v>
      </c>
      <c r="H160">
        <f t="shared" si="33"/>
        <v>0.51775558520804066</v>
      </c>
      <c r="I160">
        <v>633.33369760000005</v>
      </c>
      <c r="J160">
        <f t="shared" si="34"/>
        <v>1223.229098234679</v>
      </c>
      <c r="K160" s="1">
        <v>2.0099999999999998E-6</v>
      </c>
      <c r="L160" s="1">
        <f t="shared" si="35"/>
        <v>45745.422976539012</v>
      </c>
      <c r="M160" s="1">
        <f t="shared" si="36"/>
        <v>400729905.27448177</v>
      </c>
      <c r="N160">
        <f t="shared" si="37"/>
        <v>1.8454439468600666E+20</v>
      </c>
      <c r="O160">
        <v>10.07071168</v>
      </c>
      <c r="P160" s="1">
        <f t="shared" si="38"/>
        <v>8.4420613928607325E+24</v>
      </c>
      <c r="Q160" s="1">
        <f t="shared" si="39"/>
        <v>8.3827853096284172E+23</v>
      </c>
    </row>
    <row r="161" spans="1:17" x14ac:dyDescent="0.2">
      <c r="A161">
        <f t="shared" si="40"/>
        <v>160</v>
      </c>
      <c r="B161">
        <f>3000/24</f>
        <v>125</v>
      </c>
      <c r="C161">
        <f t="shared" si="41"/>
        <v>160000</v>
      </c>
      <c r="E161" t="s">
        <v>3</v>
      </c>
      <c r="F161">
        <v>22.20648276</v>
      </c>
      <c r="G161">
        <v>43.429000000000002</v>
      </c>
      <c r="H161">
        <f t="shared" si="33"/>
        <v>0.5113284386009348</v>
      </c>
      <c r="I161">
        <v>597.59067030000006</v>
      </c>
      <c r="J161">
        <f t="shared" si="34"/>
        <v>1168.7021984051789</v>
      </c>
      <c r="K161" s="1">
        <v>2.08E-6</v>
      </c>
      <c r="L161" s="1">
        <f t="shared" si="35"/>
        <v>43115.227325899046</v>
      </c>
      <c r="M161" s="1">
        <f t="shared" si="36"/>
        <v>377689391.37487566</v>
      </c>
      <c r="N161">
        <f t="shared" si="37"/>
        <v>2.320545503169008E+19</v>
      </c>
      <c r="O161">
        <v>10.22277981</v>
      </c>
      <c r="P161" s="1">
        <f t="shared" si="38"/>
        <v>1.0005084688922457E+24</v>
      </c>
      <c r="Q161" s="1">
        <f t="shared" si="39"/>
        <v>9.7870489973142204E+22</v>
      </c>
    </row>
    <row r="162" spans="1:17" x14ac:dyDescent="0.2">
      <c r="A162">
        <f t="shared" si="40"/>
        <v>161</v>
      </c>
      <c r="B162">
        <f t="shared" ref="B162:B170" si="45">3000/24</f>
        <v>125</v>
      </c>
      <c r="C162">
        <f t="shared" si="41"/>
        <v>161000</v>
      </c>
      <c r="E162" t="s">
        <v>3</v>
      </c>
      <c r="F162">
        <v>22.370063470000002</v>
      </c>
      <c r="G162">
        <v>43.429000000000002</v>
      </c>
      <c r="H162">
        <f t="shared" si="33"/>
        <v>0.51509506251583048</v>
      </c>
      <c r="I162">
        <v>597.59067030000006</v>
      </c>
      <c r="J162">
        <f t="shared" si="34"/>
        <v>1160.1560833863248</v>
      </c>
      <c r="K162" s="1">
        <v>2.04E-6</v>
      </c>
      <c r="L162" s="1">
        <f t="shared" si="35"/>
        <v>44610.668007778557</v>
      </c>
      <c r="M162" s="1">
        <f t="shared" si="36"/>
        <v>390789451.74814016</v>
      </c>
      <c r="N162">
        <f t="shared" si="37"/>
        <v>1.6766837414024552E+19</v>
      </c>
      <c r="O162">
        <v>9.8578163019999998</v>
      </c>
      <c r="P162" s="1">
        <f t="shared" si="38"/>
        <v>7.4797981741744965E+23</v>
      </c>
      <c r="Q162" s="1">
        <f t="shared" si="39"/>
        <v>7.5876826520463356E+22</v>
      </c>
    </row>
    <row r="163" spans="1:17" x14ac:dyDescent="0.2">
      <c r="A163">
        <f t="shared" si="40"/>
        <v>162</v>
      </c>
      <c r="B163">
        <f t="shared" si="45"/>
        <v>125</v>
      </c>
      <c r="C163">
        <f t="shared" si="41"/>
        <v>162000</v>
      </c>
      <c r="E163" t="s">
        <v>3</v>
      </c>
      <c r="F163">
        <v>22.608967459999999</v>
      </c>
      <c r="G163">
        <v>43.429000000000002</v>
      </c>
      <c r="H163">
        <f t="shared" si="33"/>
        <v>0.52059608694651038</v>
      </c>
      <c r="I163">
        <v>3039.5539570000001</v>
      </c>
      <c r="J163">
        <f t="shared" si="34"/>
        <v>5838.6031574461385</v>
      </c>
      <c r="K163" s="1">
        <v>1.9800000000000001E-6</v>
      </c>
      <c r="L163" s="1">
        <f t="shared" si="35"/>
        <v>46949.473742524431</v>
      </c>
      <c r="M163" s="1">
        <f t="shared" si="36"/>
        <v>411277389.984514</v>
      </c>
      <c r="N163">
        <f t="shared" si="37"/>
        <v>3.0826229930127768E+96</v>
      </c>
      <c r="O163">
        <v>7.0293491479999997</v>
      </c>
      <c r="P163" s="1">
        <f t="shared" si="38"/>
        <v>1.4472752726855543E+101</v>
      </c>
      <c r="Q163" s="1">
        <f t="shared" si="39"/>
        <v>2.0589036654941734E+100</v>
      </c>
    </row>
    <row r="164" spans="1:17" x14ac:dyDescent="0.2">
      <c r="A164">
        <f t="shared" si="40"/>
        <v>163</v>
      </c>
      <c r="B164">
        <f t="shared" si="45"/>
        <v>125</v>
      </c>
      <c r="C164">
        <f t="shared" si="41"/>
        <v>163000</v>
      </c>
      <c r="E164" t="s">
        <v>3</v>
      </c>
      <c r="F164">
        <v>22.618962010000001</v>
      </c>
      <c r="G164">
        <v>43.429000000000002</v>
      </c>
      <c r="H164">
        <f t="shared" si="33"/>
        <v>0.52082622233991116</v>
      </c>
      <c r="I164">
        <v>951.11735910000004</v>
      </c>
      <c r="J164">
        <f t="shared" si="34"/>
        <v>1826.1702623706692</v>
      </c>
      <c r="K164" s="1">
        <v>1.9800000000000001E-6</v>
      </c>
      <c r="L164" s="1">
        <f t="shared" si="35"/>
        <v>46990.992009981746</v>
      </c>
      <c r="M164" s="1">
        <f t="shared" si="36"/>
        <v>411641090.00744009</v>
      </c>
      <c r="N164">
        <f t="shared" si="37"/>
        <v>1.6736449716213502E+30</v>
      </c>
      <c r="O164">
        <v>10.758819949999999</v>
      </c>
      <c r="P164" s="1">
        <f t="shared" si="38"/>
        <v>7.8646237489004996E+34</v>
      </c>
      <c r="Q164" s="1">
        <f t="shared" si="39"/>
        <v>7.3099315588978693E+33</v>
      </c>
    </row>
    <row r="165" spans="1:17" x14ac:dyDescent="0.2">
      <c r="A165">
        <f t="shared" si="40"/>
        <v>164</v>
      </c>
      <c r="B165">
        <f t="shared" si="45"/>
        <v>125</v>
      </c>
      <c r="C165">
        <f t="shared" si="41"/>
        <v>164000</v>
      </c>
      <c r="E165" t="s">
        <v>3</v>
      </c>
      <c r="F165">
        <v>22.702042089999999</v>
      </c>
      <c r="G165">
        <v>43.429000000000002</v>
      </c>
      <c r="H165">
        <f t="shared" si="33"/>
        <v>0.52273923161942482</v>
      </c>
      <c r="I165">
        <v>597.59067030000006</v>
      </c>
      <c r="J165">
        <f t="shared" si="34"/>
        <v>1143.1907807047282</v>
      </c>
      <c r="K165" s="1">
        <v>1.9599999999999999E-6</v>
      </c>
      <c r="L165" s="1">
        <f t="shared" si="35"/>
        <v>47819.853247961677</v>
      </c>
      <c r="M165" s="1">
        <f t="shared" si="36"/>
        <v>418901914.45214427</v>
      </c>
      <c r="N165">
        <f t="shared" si="37"/>
        <v>8.7956812919353887E+18</v>
      </c>
      <c r="O165">
        <v>11.45833333</v>
      </c>
      <c r="P165" s="1">
        <f t="shared" si="38"/>
        <v>4.2060818859619223E+23</v>
      </c>
      <c r="Q165" s="1">
        <f t="shared" si="39"/>
        <v>3.6707623742709904E+22</v>
      </c>
    </row>
    <row r="166" spans="1:17" x14ac:dyDescent="0.2">
      <c r="A166">
        <f t="shared" si="40"/>
        <v>165</v>
      </c>
      <c r="B166">
        <f t="shared" si="45"/>
        <v>125</v>
      </c>
      <c r="C166">
        <f t="shared" si="41"/>
        <v>165000</v>
      </c>
      <c r="E166" t="s">
        <v>3</v>
      </c>
      <c r="F166">
        <v>22.741444510000001</v>
      </c>
      <c r="G166">
        <v>43.429000000000002</v>
      </c>
      <c r="H166">
        <f t="shared" si="33"/>
        <v>0.52364651523175754</v>
      </c>
      <c r="I166">
        <v>563.86484810000002</v>
      </c>
      <c r="J166">
        <f t="shared" si="34"/>
        <v>1076.8043550341254</v>
      </c>
      <c r="K166" s="1">
        <v>1.95E-6</v>
      </c>
      <c r="L166" s="1">
        <f t="shared" si="35"/>
        <v>48232.074774167493</v>
      </c>
      <c r="M166" s="1">
        <f t="shared" si="36"/>
        <v>422512975.02170724</v>
      </c>
      <c r="N166">
        <f t="shared" si="37"/>
        <v>7.0452897486805261E+17</v>
      </c>
      <c r="O166">
        <v>11.891727489999999</v>
      </c>
      <c r="P166" s="1">
        <f t="shared" si="38"/>
        <v>3.3980894196403483E+22</v>
      </c>
      <c r="Q166" s="1">
        <f t="shared" si="39"/>
        <v>2.857523789119682E+21</v>
      </c>
    </row>
    <row r="167" spans="1:17" x14ac:dyDescent="0.2">
      <c r="A167">
        <f t="shared" si="40"/>
        <v>166</v>
      </c>
      <c r="B167">
        <f t="shared" si="45"/>
        <v>125</v>
      </c>
      <c r="C167">
        <f t="shared" si="41"/>
        <v>166000</v>
      </c>
      <c r="E167" t="s">
        <v>3</v>
      </c>
      <c r="F167">
        <v>22.725166470000001</v>
      </c>
      <c r="G167">
        <v>43.429000000000002</v>
      </c>
      <c r="H167">
        <f t="shared" si="33"/>
        <v>0.52327169564116149</v>
      </c>
      <c r="I167">
        <v>597.59067030000006</v>
      </c>
      <c r="J167">
        <f t="shared" si="34"/>
        <v>1142.027507464886</v>
      </c>
      <c r="K167" s="1">
        <v>1.95E-6</v>
      </c>
      <c r="L167" s="1">
        <f t="shared" si="35"/>
        <v>48163.051660767946</v>
      </c>
      <c r="M167" s="1">
        <f t="shared" si="36"/>
        <v>421908332.54832721</v>
      </c>
      <c r="N167">
        <f t="shared" si="37"/>
        <v>8.4150761014237737E+18</v>
      </c>
      <c r="O167">
        <v>13.39340024</v>
      </c>
      <c r="P167" s="1">
        <f t="shared" si="38"/>
        <v>4.0529574500216693E+23</v>
      </c>
      <c r="Q167" s="1">
        <f t="shared" si="39"/>
        <v>3.0260855177890729E+22</v>
      </c>
    </row>
    <row r="168" spans="1:17" x14ac:dyDescent="0.2">
      <c r="A168">
        <f t="shared" si="40"/>
        <v>167</v>
      </c>
      <c r="B168">
        <f t="shared" si="45"/>
        <v>125</v>
      </c>
      <c r="C168">
        <f t="shared" si="41"/>
        <v>167000</v>
      </c>
      <c r="E168" t="s">
        <v>3</v>
      </c>
      <c r="F168">
        <v>22.322210519999999</v>
      </c>
      <c r="G168">
        <v>43.429000000000002</v>
      </c>
      <c r="H168">
        <f t="shared" si="33"/>
        <v>0.51399319625135276</v>
      </c>
      <c r="I168">
        <v>633.33369760000005</v>
      </c>
      <c r="J168">
        <f t="shared" si="34"/>
        <v>1232.1830370888556</v>
      </c>
      <c r="K168" s="1">
        <v>2.0499999999999999E-6</v>
      </c>
      <c r="L168" s="1">
        <f t="shared" si="35"/>
        <v>44203.331213116981</v>
      </c>
      <c r="M168" s="1">
        <f t="shared" si="36"/>
        <v>387221181.42690474</v>
      </c>
      <c r="N168">
        <f t="shared" si="37"/>
        <v>2.59403001941363E+20</v>
      </c>
      <c r="O168">
        <v>7.6870437960000002</v>
      </c>
      <c r="P168" s="1">
        <f t="shared" si="38"/>
        <v>1.1466476812490895E+25</v>
      </c>
      <c r="Q168" s="1">
        <f t="shared" si="39"/>
        <v>1.4916627401625507E+24</v>
      </c>
    </row>
    <row r="169" spans="1:17" x14ac:dyDescent="0.2">
      <c r="A169">
        <f t="shared" si="40"/>
        <v>168</v>
      </c>
      <c r="B169">
        <f t="shared" si="45"/>
        <v>125</v>
      </c>
      <c r="C169">
        <f t="shared" si="41"/>
        <v>168000</v>
      </c>
      <c r="E169" t="s">
        <v>3</v>
      </c>
      <c r="F169">
        <v>22.239850700000002</v>
      </c>
      <c r="G169">
        <v>43.429000000000002</v>
      </c>
      <c r="H169">
        <f t="shared" si="33"/>
        <v>0.5120967717423841</v>
      </c>
      <c r="I169">
        <v>473.68393809999998</v>
      </c>
      <c r="J169">
        <f t="shared" si="34"/>
        <v>924.98911189835007</v>
      </c>
      <c r="K169" s="1">
        <v>2.0700000000000001E-6</v>
      </c>
      <c r="L169" s="1">
        <f t="shared" si="35"/>
        <v>43453.808958810252</v>
      </c>
      <c r="M169" s="1">
        <f t="shared" si="36"/>
        <v>380655366.47917783</v>
      </c>
      <c r="N169">
        <f t="shared" si="37"/>
        <v>2191153736277666</v>
      </c>
      <c r="O169">
        <v>7.7592761560000003</v>
      </c>
      <c r="P169" s="1">
        <f t="shared" si="38"/>
        <v>9.5213975855592997E+19</v>
      </c>
      <c r="Q169" s="1">
        <f t="shared" si="39"/>
        <v>1.2270986873172064E+19</v>
      </c>
    </row>
    <row r="170" spans="1:17" x14ac:dyDescent="0.2">
      <c r="A170">
        <f t="shared" si="40"/>
        <v>169</v>
      </c>
      <c r="B170">
        <f t="shared" si="45"/>
        <v>125</v>
      </c>
      <c r="C170">
        <f t="shared" si="41"/>
        <v>169000</v>
      </c>
      <c r="E170" t="s">
        <v>3</v>
      </c>
      <c r="F170">
        <v>22.482652099999999</v>
      </c>
      <c r="G170">
        <v>43.429000000000002</v>
      </c>
      <c r="H170">
        <f t="shared" si="33"/>
        <v>0.51768753828087222</v>
      </c>
      <c r="I170">
        <v>563.86484810000002</v>
      </c>
      <c r="J170">
        <f t="shared" si="34"/>
        <v>1089.1991914127827</v>
      </c>
      <c r="K170" s="1">
        <v>2.0099999999999998E-6</v>
      </c>
      <c r="L170" s="1">
        <f t="shared" si="35"/>
        <v>45733.399423342875</v>
      </c>
      <c r="M170" s="1">
        <f t="shared" si="36"/>
        <v>400624578.94848359</v>
      </c>
      <c r="N170">
        <f t="shared" si="37"/>
        <v>1.128754146370753E+18</v>
      </c>
      <c r="O170">
        <v>10.96791363</v>
      </c>
      <c r="P170" s="1">
        <f t="shared" si="38"/>
        <v>5.1621764226728071E+22</v>
      </c>
      <c r="Q170" s="1">
        <f t="shared" si="39"/>
        <v>4.706616588001712E+21</v>
      </c>
    </row>
    <row r="171" spans="1:17" x14ac:dyDescent="0.2">
      <c r="A171">
        <f t="shared" si="40"/>
        <v>170</v>
      </c>
      <c r="B171">
        <f>3000/24</f>
        <v>125</v>
      </c>
      <c r="C171">
        <f t="shared" si="41"/>
        <v>170000</v>
      </c>
      <c r="E171" t="s">
        <v>3</v>
      </c>
      <c r="F171">
        <v>22.400757309999999</v>
      </c>
      <c r="G171">
        <v>43.429000000000002</v>
      </c>
      <c r="H171">
        <f t="shared" si="33"/>
        <v>0.51580182159386578</v>
      </c>
      <c r="I171">
        <v>633.33369760000005</v>
      </c>
      <c r="J171">
        <f t="shared" si="34"/>
        <v>1227.8624678814667</v>
      </c>
      <c r="K171" s="1">
        <v>2.03E-6</v>
      </c>
      <c r="L171" s="1">
        <f t="shared" si="35"/>
        <v>44953.532547648138</v>
      </c>
      <c r="M171" s="1">
        <f t="shared" si="36"/>
        <v>393792945.11739767</v>
      </c>
      <c r="N171">
        <f t="shared" si="37"/>
        <v>2.2010042184272432E+20</v>
      </c>
      <c r="O171">
        <v>11.08956813</v>
      </c>
      <c r="P171" s="1">
        <f t="shared" si="38"/>
        <v>9.8942914770579932E+24</v>
      </c>
      <c r="Q171" s="1">
        <f t="shared" si="39"/>
        <v>8.9221612249186783E+23</v>
      </c>
    </row>
    <row r="172" spans="1:17" x14ac:dyDescent="0.2">
      <c r="A172">
        <f t="shared" si="40"/>
        <v>171</v>
      </c>
      <c r="B172">
        <f t="shared" ref="B172:B175" si="46">3000/23</f>
        <v>130.43478260869566</v>
      </c>
      <c r="C172">
        <f t="shared" si="41"/>
        <v>171000</v>
      </c>
      <c r="E172" t="s">
        <v>3</v>
      </c>
      <c r="F172">
        <v>22.395366970000001</v>
      </c>
      <c r="G172">
        <v>43.429000000000002</v>
      </c>
      <c r="H172">
        <f t="shared" si="33"/>
        <v>0.51567770314766637</v>
      </c>
      <c r="I172">
        <v>532.04238750000002</v>
      </c>
      <c r="J172">
        <f t="shared" si="34"/>
        <v>1031.7343260188381</v>
      </c>
      <c r="K172" s="1">
        <v>2.03E-6</v>
      </c>
      <c r="L172" s="1">
        <f t="shared" si="35"/>
        <v>44931.900629858559</v>
      </c>
      <c r="M172" s="1">
        <f t="shared" si="36"/>
        <v>393603449.51756096</v>
      </c>
      <c r="N172">
        <f t="shared" si="37"/>
        <v>1.2693112828905125E+17</v>
      </c>
      <c r="O172">
        <v>11.260644770000001</v>
      </c>
      <c r="P172" s="1">
        <f t="shared" si="38"/>
        <v>5.7032568431194795E+21</v>
      </c>
      <c r="Q172" s="1">
        <f t="shared" si="39"/>
        <v>5.064769344570559E+20</v>
      </c>
    </row>
    <row r="173" spans="1:17" x14ac:dyDescent="0.2">
      <c r="A173">
        <f t="shared" si="40"/>
        <v>172</v>
      </c>
      <c r="B173">
        <f t="shared" si="46"/>
        <v>130.43478260869566</v>
      </c>
      <c r="C173">
        <f t="shared" si="41"/>
        <v>172000</v>
      </c>
      <c r="E173" t="s">
        <v>3</v>
      </c>
      <c r="F173">
        <v>22.465502369999999</v>
      </c>
      <c r="G173">
        <v>43.429000000000002</v>
      </c>
      <c r="H173">
        <f t="shared" si="33"/>
        <v>0.51729264707914058</v>
      </c>
      <c r="I173">
        <v>753.90905290000001</v>
      </c>
      <c r="J173">
        <f t="shared" si="34"/>
        <v>1457.4130468640888</v>
      </c>
      <c r="K173" s="1">
        <v>2.0200000000000001E-6</v>
      </c>
      <c r="L173" s="1">
        <f t="shared" si="35"/>
        <v>45437.59761074034</v>
      </c>
      <c r="M173" s="1">
        <f t="shared" si="36"/>
        <v>398033355.07008541</v>
      </c>
      <c r="N173">
        <f t="shared" si="37"/>
        <v>1.3603308808493426E+24</v>
      </c>
      <c r="O173">
        <v>9.1012773720000002</v>
      </c>
      <c r="P173" s="1">
        <f t="shared" si="38"/>
        <v>6.181016718149639E+28</v>
      </c>
      <c r="Q173" s="1">
        <f t="shared" si="39"/>
        <v>6.7913727551755348E+27</v>
      </c>
    </row>
    <row r="174" spans="1:17" x14ac:dyDescent="0.2">
      <c r="A174">
        <f t="shared" si="40"/>
        <v>173</v>
      </c>
      <c r="B174">
        <f t="shared" si="46"/>
        <v>130.43478260869566</v>
      </c>
      <c r="C174">
        <f t="shared" si="41"/>
        <v>173000</v>
      </c>
      <c r="E174" t="s">
        <v>3</v>
      </c>
      <c r="F174">
        <v>22.264544870000002</v>
      </c>
      <c r="G174">
        <v>43.429000000000002</v>
      </c>
      <c r="H174">
        <f t="shared" si="33"/>
        <v>0.51266538188767874</v>
      </c>
      <c r="I174">
        <v>597.59067030000006</v>
      </c>
      <c r="J174">
        <f t="shared" si="34"/>
        <v>1165.6544237483306</v>
      </c>
      <c r="K174" s="1">
        <v>2.0700000000000001E-6</v>
      </c>
      <c r="L174" s="1">
        <f t="shared" si="35"/>
        <v>43550.360999329248</v>
      </c>
      <c r="M174" s="1">
        <f t="shared" si="36"/>
        <v>381501162.35412419</v>
      </c>
      <c r="N174">
        <f t="shared" si="37"/>
        <v>2.0665986683884761E+19</v>
      </c>
      <c r="O174">
        <v>8.9378041360000005</v>
      </c>
      <c r="P174" s="1">
        <f t="shared" si="38"/>
        <v>9.0001118049051252E+23</v>
      </c>
      <c r="Q174" s="1">
        <f t="shared" si="39"/>
        <v>1.0069712502038572E+23</v>
      </c>
    </row>
    <row r="175" spans="1:17" x14ac:dyDescent="0.2">
      <c r="A175">
        <f t="shared" si="40"/>
        <v>174</v>
      </c>
      <c r="B175">
        <f t="shared" si="46"/>
        <v>130.43478260869566</v>
      </c>
      <c r="C175">
        <f t="shared" si="41"/>
        <v>174000</v>
      </c>
      <c r="E175" t="s">
        <v>3</v>
      </c>
      <c r="F175">
        <v>22.220521550000001</v>
      </c>
      <c r="G175">
        <v>43.429000000000002</v>
      </c>
      <c r="H175">
        <f t="shared" si="33"/>
        <v>0.51165169702272673</v>
      </c>
      <c r="I175">
        <v>532.04238750000002</v>
      </c>
      <c r="J175">
        <f t="shared" si="34"/>
        <v>1039.8526782886202</v>
      </c>
      <c r="K175" s="1">
        <v>2.08E-6</v>
      </c>
      <c r="L175" s="1">
        <f t="shared" si="35"/>
        <v>43169.758874864907</v>
      </c>
      <c r="M175" s="1">
        <f t="shared" si="36"/>
        <v>378167087.74381655</v>
      </c>
      <c r="N175">
        <f t="shared" si="37"/>
        <v>1.7283933320715539E+17</v>
      </c>
      <c r="O175">
        <v>9.5042579079999996</v>
      </c>
      <c r="P175" s="1">
        <f t="shared" si="38"/>
        <v>7.4614323386453296E+21</v>
      </c>
      <c r="Q175" s="1">
        <f t="shared" si="39"/>
        <v>7.8506206490512353E+20</v>
      </c>
    </row>
    <row r="176" spans="1:17" x14ac:dyDescent="0.2">
      <c r="A176">
        <f t="shared" si="40"/>
        <v>175</v>
      </c>
      <c r="B176">
        <f t="shared" ref="B176:B180" si="47">3000/23</f>
        <v>130.43478260869566</v>
      </c>
      <c r="C176">
        <f t="shared" si="41"/>
        <v>175000</v>
      </c>
      <c r="E176" t="s">
        <v>3</v>
      </c>
      <c r="F176">
        <v>22.205743049999999</v>
      </c>
      <c r="G176">
        <v>43.429000000000002</v>
      </c>
      <c r="H176">
        <f t="shared" si="33"/>
        <v>0.51131140597296731</v>
      </c>
      <c r="I176">
        <v>1008.005486</v>
      </c>
      <c r="J176">
        <f t="shared" si="34"/>
        <v>1971.4120870859128</v>
      </c>
      <c r="K176" s="1">
        <v>2.08E-6</v>
      </c>
      <c r="L176" s="1">
        <f t="shared" si="35"/>
        <v>43112.354990467335</v>
      </c>
      <c r="M176" s="1">
        <f t="shared" si="36"/>
        <v>377664229.71649384</v>
      </c>
      <c r="N176">
        <f t="shared" si="37"/>
        <v>4.1911138577040868E+32</v>
      </c>
      <c r="O176">
        <v>10.093521900000001</v>
      </c>
      <c r="P176" s="1">
        <f t="shared" si="38"/>
        <v>1.8068878843880558E+37</v>
      </c>
      <c r="Q176" s="1">
        <f t="shared" si="39"/>
        <v>1.7901460979522476E+36</v>
      </c>
    </row>
    <row r="177" spans="1:17" x14ac:dyDescent="0.2">
      <c r="A177">
        <f t="shared" si="40"/>
        <v>176</v>
      </c>
      <c r="B177">
        <f t="shared" si="47"/>
        <v>130.43478260869566</v>
      </c>
      <c r="C177">
        <f t="shared" si="41"/>
        <v>176000</v>
      </c>
      <c r="E177" t="s">
        <v>3</v>
      </c>
      <c r="F177">
        <v>21.798223220000001</v>
      </c>
      <c r="G177">
        <v>43.429000000000002</v>
      </c>
      <c r="H177">
        <f t="shared" si="33"/>
        <v>0.50192781827810906</v>
      </c>
      <c r="I177">
        <v>502.01586959999997</v>
      </c>
      <c r="J177">
        <f t="shared" si="34"/>
        <v>1000.1754262638659</v>
      </c>
      <c r="K177" s="1">
        <v>2.1900000000000002E-6</v>
      </c>
      <c r="L177" s="1">
        <f t="shared" si="35"/>
        <v>39457.770056241061</v>
      </c>
      <c r="M177" s="1">
        <f t="shared" si="36"/>
        <v>345650065.69267172</v>
      </c>
      <c r="N177">
        <f t="shared" si="37"/>
        <v>3.8227287148530648E+16</v>
      </c>
      <c r="O177">
        <v>7.185218978</v>
      </c>
      <c r="P177" s="1">
        <f t="shared" si="38"/>
        <v>1.5083635061806213E+21</v>
      </c>
      <c r="Q177" s="1">
        <f t="shared" si="39"/>
        <v>2.0992589241872669E+20</v>
      </c>
    </row>
    <row r="178" spans="1:17" x14ac:dyDescent="0.2">
      <c r="A178">
        <f t="shared" si="40"/>
        <v>177</v>
      </c>
      <c r="B178">
        <f t="shared" si="47"/>
        <v>130.43478260869566</v>
      </c>
      <c r="C178">
        <f t="shared" si="41"/>
        <v>177000</v>
      </c>
      <c r="E178" t="s">
        <v>3</v>
      </c>
      <c r="F178">
        <v>21.85998777</v>
      </c>
      <c r="G178">
        <v>43.429000000000002</v>
      </c>
      <c r="H178">
        <f t="shared" si="33"/>
        <v>0.50335001427617487</v>
      </c>
      <c r="I178">
        <v>1428.3532270000001</v>
      </c>
      <c r="J178">
        <f t="shared" si="34"/>
        <v>2837.6938243540017</v>
      </c>
      <c r="K178" s="1">
        <v>2.1799999999999999E-6</v>
      </c>
      <c r="L178" s="1">
        <f t="shared" si="35"/>
        <v>39863.717544511986</v>
      </c>
      <c r="M178" s="1">
        <f t="shared" si="36"/>
        <v>349206165.68992501</v>
      </c>
      <c r="N178">
        <f t="shared" si="37"/>
        <v>8.4909594210220461E+46</v>
      </c>
      <c r="O178">
        <v>7.4931569339999999</v>
      </c>
      <c r="P178" s="1">
        <f t="shared" si="38"/>
        <v>3.3848120804153585E+51</v>
      </c>
      <c r="Q178" s="1">
        <f t="shared" si="39"/>
        <v>4.5172043108517641E+50</v>
      </c>
    </row>
    <row r="179" spans="1:17" x14ac:dyDescent="0.2">
      <c r="A179">
        <f t="shared" si="40"/>
        <v>178</v>
      </c>
      <c r="B179">
        <f t="shared" si="47"/>
        <v>130.43478260869566</v>
      </c>
      <c r="C179">
        <f t="shared" si="41"/>
        <v>178000</v>
      </c>
      <c r="E179" t="s">
        <v>3</v>
      </c>
      <c r="F179">
        <v>21.613527009999999</v>
      </c>
      <c r="G179">
        <v>43.429000000000002</v>
      </c>
      <c r="H179">
        <f t="shared" si="33"/>
        <v>0.49767498699025992</v>
      </c>
      <c r="I179">
        <v>1428.3532270000001</v>
      </c>
      <c r="J179">
        <f t="shared" si="34"/>
        <v>2870.0522717408635</v>
      </c>
      <c r="K179" s="1">
        <v>2.2500000000000001E-6</v>
      </c>
      <c r="L179" s="1">
        <f t="shared" si="35"/>
        <v>37757.499861237375</v>
      </c>
      <c r="M179" s="1">
        <f t="shared" si="36"/>
        <v>330755698.78443938</v>
      </c>
      <c r="N179">
        <f t="shared" si="37"/>
        <v>2.9064037272521074E+47</v>
      </c>
      <c r="O179">
        <v>6.0979318730000003</v>
      </c>
      <c r="P179" s="1">
        <f t="shared" si="38"/>
        <v>1.0973853832842123E+52</v>
      </c>
      <c r="Q179" s="1">
        <f t="shared" si="39"/>
        <v>1.799602563851425E+51</v>
      </c>
    </row>
    <row r="180" spans="1:17" x14ac:dyDescent="0.2">
      <c r="A180">
        <f t="shared" si="40"/>
        <v>179</v>
      </c>
      <c r="B180">
        <f t="shared" si="47"/>
        <v>130.43478260869566</v>
      </c>
      <c r="C180">
        <f t="shared" si="41"/>
        <v>179000</v>
      </c>
      <c r="E180" t="s">
        <v>3</v>
      </c>
      <c r="F180">
        <v>21.744875109999999</v>
      </c>
      <c r="G180">
        <v>43.429000000000002</v>
      </c>
      <c r="H180">
        <f t="shared" si="33"/>
        <v>0.50069941997282918</v>
      </c>
      <c r="I180">
        <v>532.04238750000002</v>
      </c>
      <c r="J180">
        <f t="shared" si="34"/>
        <v>1062.598369953917</v>
      </c>
      <c r="K180" s="1">
        <v>2.21E-6</v>
      </c>
      <c r="L180" s="1">
        <f t="shared" si="35"/>
        <v>38909.533412790392</v>
      </c>
      <c r="M180" s="1">
        <f t="shared" si="36"/>
        <v>340847512.69604385</v>
      </c>
      <c r="N180">
        <f t="shared" si="37"/>
        <v>4.104755286239575E+17</v>
      </c>
      <c r="O180">
        <v>6.4666970800000003</v>
      </c>
      <c r="P180" s="1">
        <f t="shared" si="38"/>
        <v>1.5971411296126673E+22</v>
      </c>
      <c r="Q180" s="1">
        <f t="shared" si="39"/>
        <v>2.4697942548635158E+21</v>
      </c>
    </row>
    <row r="181" spans="1:17" x14ac:dyDescent="0.2">
      <c r="A181">
        <f t="shared" si="40"/>
        <v>180</v>
      </c>
      <c r="B181">
        <f>3000/23</f>
        <v>130.43478260869566</v>
      </c>
      <c r="C181">
        <f t="shared" si="41"/>
        <v>180000</v>
      </c>
      <c r="E181" t="s">
        <v>4</v>
      </c>
      <c r="F181">
        <v>22.81901903</v>
      </c>
      <c r="G181">
        <v>43.429000000000002</v>
      </c>
      <c r="H181">
        <f t="shared" si="33"/>
        <v>0.52543275299914804</v>
      </c>
      <c r="I181">
        <v>334.28426459999997</v>
      </c>
      <c r="J181">
        <f t="shared" si="34"/>
        <v>636.20751217338363</v>
      </c>
      <c r="K181" s="1">
        <v>8.3300000000000001E-7</v>
      </c>
      <c r="L181" s="1">
        <f t="shared" si="35"/>
        <v>113679.82620410861</v>
      </c>
      <c r="M181" s="1">
        <f t="shared" si="36"/>
        <v>995835277.54799139</v>
      </c>
      <c r="N181">
        <f t="shared" si="37"/>
        <v>37277770096.907784</v>
      </c>
      <c r="O181">
        <v>1.2963807789999999</v>
      </c>
      <c r="P181" s="1">
        <f t="shared" si="38"/>
        <v>4237730425893194</v>
      </c>
      <c r="Q181" s="1">
        <f t="shared" si="39"/>
        <v>3268893287018716.5</v>
      </c>
    </row>
    <row r="182" spans="1:17" x14ac:dyDescent="0.2">
      <c r="A182">
        <f t="shared" si="40"/>
        <v>181</v>
      </c>
      <c r="B182">
        <f t="shared" ref="B182:B185" si="48">3000/23</f>
        <v>130.43478260869566</v>
      </c>
      <c r="C182">
        <f t="shared" si="41"/>
        <v>181000</v>
      </c>
      <c r="E182" t="s">
        <v>4</v>
      </c>
      <c r="F182">
        <v>20.425846750000002</v>
      </c>
      <c r="G182">
        <v>43.429000000000002</v>
      </c>
      <c r="H182">
        <f t="shared" si="33"/>
        <v>0.47032735614451177</v>
      </c>
      <c r="I182">
        <v>473.68393809999998</v>
      </c>
      <c r="J182">
        <f t="shared" si="34"/>
        <v>1007.1366930110204</v>
      </c>
      <c r="K182" s="1">
        <v>1.1400000000000001E-6</v>
      </c>
      <c r="L182" s="1">
        <f t="shared" si="35"/>
        <v>66556.38853043424</v>
      </c>
      <c r="M182" s="1">
        <f t="shared" si="36"/>
        <v>583033963.52660394</v>
      </c>
      <c r="N182">
        <f t="shared" si="37"/>
        <v>4.9812538442693376E+16</v>
      </c>
      <c r="O182">
        <v>7.6186131389999998</v>
      </c>
      <c r="P182" s="1">
        <f t="shared" si="38"/>
        <v>3.315342662279092E+21</v>
      </c>
      <c r="Q182" s="1">
        <f t="shared" si="39"/>
        <v>4.3516353984529203E+20</v>
      </c>
    </row>
    <row r="183" spans="1:17" x14ac:dyDescent="0.2">
      <c r="A183">
        <f t="shared" si="40"/>
        <v>182</v>
      </c>
      <c r="B183">
        <f t="shared" si="48"/>
        <v>130.43478260869566</v>
      </c>
      <c r="C183">
        <f t="shared" si="41"/>
        <v>182000</v>
      </c>
      <c r="E183" t="s">
        <v>4</v>
      </c>
      <c r="F183">
        <v>19.895458810000001</v>
      </c>
      <c r="G183">
        <v>43.429000000000002</v>
      </c>
      <c r="H183">
        <f t="shared" si="33"/>
        <v>0.45811459646779801</v>
      </c>
      <c r="I183">
        <v>473.68393809999998</v>
      </c>
      <c r="J183">
        <f t="shared" si="34"/>
        <v>1033.985692122116</v>
      </c>
      <c r="K183" s="1">
        <v>1.2300000000000001E-6</v>
      </c>
      <c r="L183" s="1">
        <f t="shared" si="35"/>
        <v>58524.440113350174</v>
      </c>
      <c r="M183" s="1">
        <f t="shared" si="36"/>
        <v>512674095.39294755</v>
      </c>
      <c r="N183">
        <f t="shared" si="37"/>
        <v>1.3827682886212517E+17</v>
      </c>
      <c r="O183">
        <v>9.7361617999999996</v>
      </c>
      <c r="P183" s="1">
        <f t="shared" si="38"/>
        <v>8.0925739898054157E+21</v>
      </c>
      <c r="Q183" s="1">
        <f t="shared" si="39"/>
        <v>8.3118729495697333E+20</v>
      </c>
    </row>
    <row r="184" spans="1:17" x14ac:dyDescent="0.2">
      <c r="A184">
        <f t="shared" si="40"/>
        <v>183</v>
      </c>
      <c r="B184">
        <f t="shared" si="48"/>
        <v>130.43478260869566</v>
      </c>
      <c r="C184">
        <f t="shared" si="41"/>
        <v>183000</v>
      </c>
      <c r="E184" t="s">
        <v>4</v>
      </c>
      <c r="F184">
        <v>22.683302529999999</v>
      </c>
      <c r="G184">
        <v>43.429000000000002</v>
      </c>
      <c r="H184">
        <f t="shared" si="33"/>
        <v>0.52230773285132048</v>
      </c>
      <c r="I184">
        <v>446.95095679999997</v>
      </c>
      <c r="J184">
        <f t="shared" si="34"/>
        <v>855.72341493023328</v>
      </c>
      <c r="K184" s="1">
        <v>8.4799999999999997E-7</v>
      </c>
      <c r="L184" s="1">
        <f t="shared" si="35"/>
        <v>110344.62400250736</v>
      </c>
      <c r="M184" s="1">
        <f t="shared" si="36"/>
        <v>966618906.26196456</v>
      </c>
      <c r="N184">
        <f t="shared" si="37"/>
        <v>157308108988422.72</v>
      </c>
      <c r="O184">
        <v>3.3569038930000001</v>
      </c>
      <c r="P184" s="1">
        <f t="shared" si="38"/>
        <v>1.7358104138872955E+19</v>
      </c>
      <c r="Q184" s="1">
        <f t="shared" si="39"/>
        <v>5.1708671717021819E+18</v>
      </c>
    </row>
    <row r="185" spans="1:17" x14ac:dyDescent="0.2">
      <c r="A185">
        <f t="shared" si="40"/>
        <v>184</v>
      </c>
      <c r="B185">
        <f t="shared" si="48"/>
        <v>130.43478260869566</v>
      </c>
      <c r="C185">
        <f t="shared" si="41"/>
        <v>184000</v>
      </c>
      <c r="E185" t="s">
        <v>4</v>
      </c>
      <c r="F185">
        <v>25.00896724</v>
      </c>
      <c r="G185">
        <v>43.429000000000002</v>
      </c>
      <c r="H185">
        <f t="shared" si="33"/>
        <v>0.57585869442077875</v>
      </c>
      <c r="I185">
        <v>375.46850110000003</v>
      </c>
      <c r="J185">
        <f t="shared" si="34"/>
        <v>652.01499037478447</v>
      </c>
      <c r="K185" s="1">
        <v>6.3300000000000002E-7</v>
      </c>
      <c r="L185" s="1">
        <f t="shared" si="35"/>
        <v>179689.32058044444</v>
      </c>
      <c r="M185" s="1">
        <f t="shared" si="36"/>
        <v>1574078448.2846932</v>
      </c>
      <c r="N185">
        <f t="shared" si="37"/>
        <v>68000192743.0205</v>
      </c>
      <c r="O185">
        <v>1.467457421</v>
      </c>
      <c r="P185" s="1">
        <f t="shared" si="38"/>
        <v>1.2218908433332622E+16</v>
      </c>
      <c r="Q185" s="1">
        <f t="shared" si="39"/>
        <v>8326584648027496</v>
      </c>
    </row>
    <row r="186" spans="1:17" x14ac:dyDescent="0.2">
      <c r="A186">
        <f t="shared" si="40"/>
        <v>185</v>
      </c>
      <c r="B186">
        <f t="shared" ref="B186:B190" si="49">3000/22</f>
        <v>136.36363636363637</v>
      </c>
      <c r="C186">
        <f t="shared" si="41"/>
        <v>185000</v>
      </c>
      <c r="E186" t="s">
        <v>4</v>
      </c>
      <c r="F186">
        <v>20.015837779999998</v>
      </c>
      <c r="G186">
        <v>43.429000000000002</v>
      </c>
      <c r="H186">
        <f t="shared" si="33"/>
        <v>0.46088645329157929</v>
      </c>
      <c r="I186">
        <v>1347.7422180000001</v>
      </c>
      <c r="J186">
        <f t="shared" si="34"/>
        <v>2924.2391664468223</v>
      </c>
      <c r="K186" s="1">
        <v>1.2100000000000001E-6</v>
      </c>
      <c r="L186" s="1">
        <f t="shared" si="35"/>
        <v>60213.883247849626</v>
      </c>
      <c r="M186" s="1">
        <f t="shared" si="36"/>
        <v>527473617.25116271</v>
      </c>
      <c r="N186">
        <f t="shared" si="37"/>
        <v>2.2816631743787146E+48</v>
      </c>
      <c r="O186">
        <v>8.6944951340000003</v>
      </c>
      <c r="P186" s="1">
        <f t="shared" si="38"/>
        <v>1.3738779999295788E+53</v>
      </c>
      <c r="Q186" s="1">
        <f t="shared" si="39"/>
        <v>1.5801699566855825E+52</v>
      </c>
    </row>
    <row r="187" spans="1:17" x14ac:dyDescent="0.2">
      <c r="A187">
        <f t="shared" si="40"/>
        <v>186</v>
      </c>
      <c r="B187">
        <f t="shared" si="49"/>
        <v>136.36363636363637</v>
      </c>
      <c r="C187">
        <f t="shared" si="41"/>
        <v>186000</v>
      </c>
      <c r="E187" t="s">
        <v>4</v>
      </c>
      <c r="F187">
        <v>19.641803920000001</v>
      </c>
      <c r="G187">
        <v>43.429000000000002</v>
      </c>
      <c r="H187">
        <f t="shared" si="33"/>
        <v>0.4522739165074029</v>
      </c>
      <c r="I187">
        <v>473.68393809999998</v>
      </c>
      <c r="J187">
        <f t="shared" si="34"/>
        <v>1047.3386167345925</v>
      </c>
      <c r="K187" s="1">
        <v>1.2699999999999999E-6</v>
      </c>
      <c r="L187" s="1">
        <f t="shared" si="35"/>
        <v>55245.064232015931</v>
      </c>
      <c r="M187" s="1">
        <f t="shared" si="36"/>
        <v>483946762.67245954</v>
      </c>
      <c r="N187">
        <f t="shared" si="37"/>
        <v>2.2975909977600666E+17</v>
      </c>
      <c r="O187">
        <v>10.500304140000001</v>
      </c>
      <c r="P187" s="1">
        <f t="shared" si="38"/>
        <v>1.2693056225015646E+22</v>
      </c>
      <c r="Q187" s="1">
        <f t="shared" si="39"/>
        <v>1.2088274830690424E+21</v>
      </c>
    </row>
    <row r="188" spans="1:17" x14ac:dyDescent="0.2">
      <c r="A188">
        <f t="shared" si="40"/>
        <v>187</v>
      </c>
      <c r="B188">
        <f t="shared" si="49"/>
        <v>136.36363636363637</v>
      </c>
      <c r="C188">
        <f t="shared" si="41"/>
        <v>187000</v>
      </c>
      <c r="E188" t="s">
        <v>4</v>
      </c>
      <c r="F188">
        <v>19.334710959999999</v>
      </c>
      <c r="G188">
        <v>43.429000000000002</v>
      </c>
      <c r="H188">
        <f t="shared" si="33"/>
        <v>0.44520276681480114</v>
      </c>
      <c r="I188">
        <v>421.72668670000002</v>
      </c>
      <c r="J188">
        <f t="shared" si="34"/>
        <v>947.26879106623596</v>
      </c>
      <c r="K188" s="1">
        <v>1.33E-6</v>
      </c>
      <c r="L188" s="1">
        <f t="shared" si="35"/>
        <v>51116.156186306092</v>
      </c>
      <c r="M188" s="1">
        <f t="shared" si="36"/>
        <v>447777528.1920414</v>
      </c>
      <c r="N188">
        <f t="shared" si="37"/>
        <v>5112359083585399</v>
      </c>
      <c r="O188">
        <v>13.79638078</v>
      </c>
      <c r="P188" s="1">
        <f t="shared" si="38"/>
        <v>2.6132414539703193E+20</v>
      </c>
      <c r="Q188" s="1">
        <f t="shared" si="39"/>
        <v>1.8941499916837749E+19</v>
      </c>
    </row>
    <row r="189" spans="1:17" x14ac:dyDescent="0.2">
      <c r="A189">
        <f t="shared" si="40"/>
        <v>188</v>
      </c>
      <c r="B189">
        <f t="shared" si="49"/>
        <v>136.36363636363637</v>
      </c>
      <c r="C189">
        <f t="shared" si="41"/>
        <v>188000</v>
      </c>
      <c r="E189" t="s">
        <v>4</v>
      </c>
      <c r="F189">
        <v>22.011080809999999</v>
      </c>
      <c r="G189">
        <v>43.429000000000002</v>
      </c>
      <c r="H189">
        <f t="shared" si="33"/>
        <v>0.5068290959957632</v>
      </c>
      <c r="I189">
        <v>421.72668670000002</v>
      </c>
      <c r="J189">
        <f t="shared" si="34"/>
        <v>832.08854825399646</v>
      </c>
      <c r="K189" s="1">
        <v>9.2399999999999996E-7</v>
      </c>
      <c r="L189" s="1">
        <f t="shared" si="35"/>
        <v>95355.385567017016</v>
      </c>
      <c r="M189" s="1">
        <f t="shared" si="36"/>
        <v>835313177.56706905</v>
      </c>
      <c r="N189">
        <f t="shared" si="37"/>
        <v>64035633813413.391</v>
      </c>
      <c r="O189">
        <v>6.2461982970000003</v>
      </c>
      <c r="P189" s="1">
        <f t="shared" si="38"/>
        <v>6.106142552306346E+18</v>
      </c>
      <c r="Q189" s="1">
        <f t="shared" si="39"/>
        <v>9.775774418239456E+17</v>
      </c>
    </row>
    <row r="190" spans="1:17" x14ac:dyDescent="0.2">
      <c r="A190">
        <f t="shared" si="40"/>
        <v>189</v>
      </c>
      <c r="B190">
        <f t="shared" si="49"/>
        <v>136.36363636363637</v>
      </c>
      <c r="C190">
        <f t="shared" si="41"/>
        <v>189000</v>
      </c>
      <c r="E190" t="s">
        <v>4</v>
      </c>
      <c r="F190">
        <v>23.861953939999999</v>
      </c>
      <c r="G190">
        <v>43.429000000000002</v>
      </c>
      <c r="H190">
        <f t="shared" si="33"/>
        <v>0.5494474645973888</v>
      </c>
      <c r="I190">
        <v>280.82099360000001</v>
      </c>
      <c r="J190">
        <f t="shared" si="34"/>
        <v>511.09707787217366</v>
      </c>
      <c r="K190" s="1">
        <v>7.3099999999999997E-7</v>
      </c>
      <c r="L190" s="1">
        <f t="shared" si="35"/>
        <v>141654.08086033803</v>
      </c>
      <c r="M190" s="1">
        <f t="shared" si="36"/>
        <v>1240889748.3365612</v>
      </c>
      <c r="N190">
        <f t="shared" si="37"/>
        <v>320076179.00792325</v>
      </c>
      <c r="O190">
        <v>3.6154197080000001</v>
      </c>
      <c r="P190" s="1">
        <f t="shared" si="38"/>
        <v>45340096942656.391</v>
      </c>
      <c r="Q190" s="1">
        <f t="shared" si="39"/>
        <v>12540756151306.678</v>
      </c>
    </row>
    <row r="191" spans="1:17" x14ac:dyDescent="0.2">
      <c r="A191">
        <f t="shared" si="40"/>
        <v>190</v>
      </c>
      <c r="B191">
        <f t="shared" ref="B191:B200" si="50">3000/22</f>
        <v>136.36363636363637</v>
      </c>
      <c r="C191">
        <f t="shared" si="41"/>
        <v>190000</v>
      </c>
      <c r="E191" t="s">
        <v>4</v>
      </c>
      <c r="F191">
        <v>21.323014700000002</v>
      </c>
      <c r="G191">
        <v>43.429000000000002</v>
      </c>
      <c r="H191">
        <f t="shared" si="33"/>
        <v>0.49098562481291302</v>
      </c>
      <c r="I191">
        <v>397.92598170000002</v>
      </c>
      <c r="J191">
        <f t="shared" si="34"/>
        <v>810.46360950308315</v>
      </c>
      <c r="K191" s="1">
        <v>1.0100000000000001E-6</v>
      </c>
      <c r="L191" s="1">
        <f t="shared" si="35"/>
        <v>81867.268449617652</v>
      </c>
      <c r="M191" s="1">
        <f t="shared" si="36"/>
        <v>717157271.61865067</v>
      </c>
      <c r="N191">
        <f t="shared" si="37"/>
        <v>28137547296981.512</v>
      </c>
      <c r="O191">
        <v>5.8394160580000003</v>
      </c>
      <c r="P191" s="1">
        <f t="shared" si="38"/>
        <v>2.303544138075799E+18</v>
      </c>
      <c r="Q191" s="1">
        <f t="shared" si="39"/>
        <v>3.944819336721081E+17</v>
      </c>
    </row>
    <row r="192" spans="1:17" x14ac:dyDescent="0.2">
      <c r="A192">
        <f t="shared" si="40"/>
        <v>191</v>
      </c>
      <c r="B192">
        <f t="shared" si="50"/>
        <v>136.36363636363637</v>
      </c>
      <c r="C192">
        <f t="shared" si="41"/>
        <v>191000</v>
      </c>
      <c r="E192" t="s">
        <v>4</v>
      </c>
      <c r="F192">
        <v>19.009796130000002</v>
      </c>
      <c r="G192">
        <v>43.429000000000002</v>
      </c>
      <c r="H192">
        <f t="shared" si="33"/>
        <v>0.4377212491653043</v>
      </c>
      <c r="I192">
        <v>563.86484810000002</v>
      </c>
      <c r="J192">
        <f t="shared" si="34"/>
        <v>1288.1824886848431</v>
      </c>
      <c r="K192" s="1">
        <v>1.39E-6</v>
      </c>
      <c r="L192" s="1">
        <f t="shared" si="35"/>
        <v>47279.685572659146</v>
      </c>
      <c r="M192" s="1">
        <f t="shared" si="36"/>
        <v>414170045.61649412</v>
      </c>
      <c r="N192">
        <f t="shared" si="37"/>
        <v>2.1817497420843948E+21</v>
      </c>
      <c r="O192">
        <v>15.993765209999999</v>
      </c>
      <c r="P192" s="1">
        <f t="shared" si="38"/>
        <v>1.0315244180398038E+26</v>
      </c>
      <c r="Q192" s="1">
        <f t="shared" si="39"/>
        <v>6.4495408335421216E+24</v>
      </c>
    </row>
    <row r="193" spans="1:17" x14ac:dyDescent="0.2">
      <c r="A193">
        <f t="shared" si="40"/>
        <v>192</v>
      </c>
      <c r="B193">
        <f t="shared" si="50"/>
        <v>136.36363636363637</v>
      </c>
      <c r="C193">
        <f t="shared" si="41"/>
        <v>192000</v>
      </c>
      <c r="E193" t="s">
        <v>4</v>
      </c>
      <c r="F193">
        <v>18.651592239999999</v>
      </c>
      <c r="G193">
        <v>43.429000000000002</v>
      </c>
      <c r="H193">
        <f t="shared" si="33"/>
        <v>0.4294732146722236</v>
      </c>
      <c r="I193">
        <v>502.01586959999997</v>
      </c>
      <c r="J193">
        <f t="shared" si="34"/>
        <v>1168.9107782499109</v>
      </c>
      <c r="K193" s="1">
        <v>1.4699999999999999E-6</v>
      </c>
      <c r="L193" s="1">
        <f t="shared" si="35"/>
        <v>43037.689828208575</v>
      </c>
      <c r="M193" s="1">
        <f t="shared" si="36"/>
        <v>377010162.89510709</v>
      </c>
      <c r="N193">
        <f t="shared" si="37"/>
        <v>2.3390245559924433E+19</v>
      </c>
      <c r="O193">
        <v>17.358576639999999</v>
      </c>
      <c r="P193" s="1">
        <f t="shared" si="38"/>
        <v>1.0066621334136605E+24</v>
      </c>
      <c r="Q193" s="1">
        <f t="shared" si="39"/>
        <v>5.7992204907744126E+22</v>
      </c>
    </row>
    <row r="194" spans="1:17" x14ac:dyDescent="0.2">
      <c r="A194">
        <f t="shared" si="40"/>
        <v>193</v>
      </c>
      <c r="B194">
        <f t="shared" si="50"/>
        <v>136.36363636363637</v>
      </c>
      <c r="C194">
        <f t="shared" si="41"/>
        <v>193000</v>
      </c>
      <c r="E194" t="s">
        <v>4</v>
      </c>
      <c r="F194">
        <v>21.049484240000002</v>
      </c>
      <c r="G194">
        <v>43.429000000000002</v>
      </c>
      <c r="H194">
        <f t="shared" si="33"/>
        <v>0.48468728821755053</v>
      </c>
      <c r="I194">
        <v>951.11735910000004</v>
      </c>
      <c r="J194">
        <f t="shared" si="34"/>
        <v>1962.3319658284368</v>
      </c>
      <c r="K194" s="1">
        <v>1.0499999999999999E-6</v>
      </c>
      <c r="L194" s="1">
        <f t="shared" si="35"/>
        <v>76741.110670829759</v>
      </c>
      <c r="M194" s="1">
        <f t="shared" si="36"/>
        <v>672252129.47646868</v>
      </c>
      <c r="N194">
        <f t="shared" si="37"/>
        <v>2.9673680756060437E+32</v>
      </c>
      <c r="O194">
        <v>10.14294404</v>
      </c>
      <c r="P194" s="1">
        <f t="shared" si="38"/>
        <v>2.2771912189117053E+37</v>
      </c>
      <c r="Q194" s="1">
        <f t="shared" si="39"/>
        <v>2.2450988686630921E+36</v>
      </c>
    </row>
    <row r="195" spans="1:17" x14ac:dyDescent="0.2">
      <c r="A195">
        <f t="shared" si="40"/>
        <v>194</v>
      </c>
      <c r="B195">
        <f t="shared" si="50"/>
        <v>136.36363636363637</v>
      </c>
      <c r="C195">
        <f t="shared" si="41"/>
        <v>194000</v>
      </c>
      <c r="E195" t="s">
        <v>4</v>
      </c>
      <c r="F195">
        <v>20.982737</v>
      </c>
      <c r="G195">
        <v>43.429000000000002</v>
      </c>
      <c r="H195">
        <f t="shared" ref="H195:H258" si="51">F195/43.429</f>
        <v>0.4831503603582859</v>
      </c>
      <c r="I195">
        <v>2553.4272850000002</v>
      </c>
      <c r="J195">
        <f t="shared" ref="J195:J258" si="52">I195/H195</f>
        <v>5284.9537007619656</v>
      </c>
      <c r="K195" s="1">
        <v>1.06E-6</v>
      </c>
      <c r="L195" s="1">
        <f t="shared" ref="L195:L258" si="53">((H195^2)*0.343)/(K195)</f>
        <v>75535.806466999202</v>
      </c>
      <c r="M195" s="1">
        <f t="shared" ref="M195:M258" si="54">L195*8760</f>
        <v>661693664.650913</v>
      </c>
      <c r="N195">
        <f t="shared" ref="N195:N258" si="55">EXP((J195+3.9052)/(26.297))</f>
        <v>2.2151829332488954E+87</v>
      </c>
      <c r="O195">
        <v>9.1963199509999995</v>
      </c>
      <c r="P195" s="1">
        <f t="shared" ref="P195:P258" si="56">L195*N195</f>
        <v>1.6732562933488817E+92</v>
      </c>
      <c r="Q195" s="1">
        <f t="shared" ref="Q195:Q258" si="57">P195/O195</f>
        <v>1.819484644145002E+91</v>
      </c>
    </row>
    <row r="196" spans="1:17" x14ac:dyDescent="0.2">
      <c r="A196">
        <f t="shared" ref="A196:A259" si="58">A195+1</f>
        <v>195</v>
      </c>
      <c r="B196">
        <f t="shared" si="50"/>
        <v>136.36363636363637</v>
      </c>
      <c r="C196">
        <f t="shared" ref="C196:C259" si="59">C195+1000</f>
        <v>195000</v>
      </c>
      <c r="E196" t="s">
        <v>4</v>
      </c>
      <c r="F196">
        <v>18.94568215</v>
      </c>
      <c r="G196">
        <v>43.429000000000002</v>
      </c>
      <c r="H196">
        <f t="shared" si="51"/>
        <v>0.43624495498399685</v>
      </c>
      <c r="I196">
        <v>502.01586959999997</v>
      </c>
      <c r="J196">
        <f t="shared" si="52"/>
        <v>1150.7660177260179</v>
      </c>
      <c r="K196" s="1">
        <v>1.3999999999999999E-6</v>
      </c>
      <c r="L196" s="1">
        <f t="shared" si="53"/>
        <v>46625.866883502422</v>
      </c>
      <c r="M196" s="1">
        <f t="shared" si="54"/>
        <v>408442593.89948124</v>
      </c>
      <c r="N196">
        <f t="shared" si="55"/>
        <v>1.1732063031744289E+19</v>
      </c>
      <c r="O196">
        <v>16.005170320000001</v>
      </c>
      <c r="P196" s="1">
        <f t="shared" si="56"/>
        <v>5.4701760918696902E+23</v>
      </c>
      <c r="Q196" s="1">
        <f t="shared" si="57"/>
        <v>3.4177556267765416E+22</v>
      </c>
    </row>
    <row r="197" spans="1:17" x14ac:dyDescent="0.2">
      <c r="A197">
        <f t="shared" si="58"/>
        <v>196</v>
      </c>
      <c r="B197">
        <f t="shared" si="50"/>
        <v>136.36363636363637</v>
      </c>
      <c r="C197">
        <f t="shared" si="59"/>
        <v>196000</v>
      </c>
      <c r="E197" t="s">
        <v>4</v>
      </c>
      <c r="F197">
        <v>18.6146864</v>
      </c>
      <c r="G197">
        <v>43.429000000000002</v>
      </c>
      <c r="H197">
        <f t="shared" si="51"/>
        <v>0.42862341753206379</v>
      </c>
      <c r="I197">
        <v>532.04238750000002</v>
      </c>
      <c r="J197">
        <f t="shared" si="52"/>
        <v>1241.2816606320857</v>
      </c>
      <c r="K197" s="1">
        <v>1.4699999999999999E-6</v>
      </c>
      <c r="L197" s="1">
        <f t="shared" si="53"/>
        <v>42867.541279935373</v>
      </c>
      <c r="M197" s="1">
        <f t="shared" si="54"/>
        <v>375519661.61223388</v>
      </c>
      <c r="N197">
        <f t="shared" si="55"/>
        <v>3.6663895109299097E+20</v>
      </c>
      <c r="O197">
        <v>17.510644769999999</v>
      </c>
      <c r="P197" s="1">
        <f t="shared" si="56"/>
        <v>1.5716910370810996E+25</v>
      </c>
      <c r="Q197" s="1">
        <f t="shared" si="57"/>
        <v>8.9756320097006892E+23</v>
      </c>
    </row>
    <row r="198" spans="1:17" x14ac:dyDescent="0.2">
      <c r="A198">
        <f t="shared" si="58"/>
        <v>197</v>
      </c>
      <c r="B198">
        <f t="shared" si="50"/>
        <v>136.36363636363637</v>
      </c>
      <c r="C198">
        <f t="shared" si="59"/>
        <v>197000</v>
      </c>
      <c r="E198" t="s">
        <v>4</v>
      </c>
      <c r="F198">
        <v>18.558728160000001</v>
      </c>
      <c r="G198">
        <v>43.429000000000002</v>
      </c>
      <c r="H198">
        <f t="shared" si="51"/>
        <v>0.42733491814225516</v>
      </c>
      <c r="I198">
        <v>473.68393809999998</v>
      </c>
      <c r="J198">
        <f t="shared" si="52"/>
        <v>1108.460642905656</v>
      </c>
      <c r="K198" s="1">
        <v>1.4899999999999999E-6</v>
      </c>
      <c r="L198" s="1">
        <f t="shared" si="53"/>
        <v>42038.248568074654</v>
      </c>
      <c r="M198" s="1">
        <f t="shared" si="54"/>
        <v>368255057.45633399</v>
      </c>
      <c r="N198">
        <f t="shared" si="55"/>
        <v>2.3480204958517555E+18</v>
      </c>
      <c r="O198">
        <v>18.324209249999999</v>
      </c>
      <c r="P198" s="1">
        <f t="shared" si="56"/>
        <v>9.8706669247550007E+22</v>
      </c>
      <c r="Q198" s="1">
        <f t="shared" si="57"/>
        <v>5.3866809694693926E+21</v>
      </c>
    </row>
    <row r="199" spans="1:17" x14ac:dyDescent="0.2">
      <c r="A199">
        <f t="shared" si="58"/>
        <v>198</v>
      </c>
      <c r="B199">
        <f t="shared" si="50"/>
        <v>136.36363636363637</v>
      </c>
      <c r="C199">
        <f t="shared" si="59"/>
        <v>198000</v>
      </c>
      <c r="E199" t="s">
        <v>4</v>
      </c>
      <c r="F199">
        <v>19.85642219</v>
      </c>
      <c r="G199">
        <v>43.429000000000002</v>
      </c>
      <c r="H199">
        <f t="shared" si="51"/>
        <v>0.45721573579865987</v>
      </c>
      <c r="I199">
        <v>1604.3281179999999</v>
      </c>
      <c r="J199">
        <f t="shared" si="52"/>
        <v>3508.9083607272955</v>
      </c>
      <c r="K199" s="1">
        <v>1.2300000000000001E-6</v>
      </c>
      <c r="L199" s="1">
        <f t="shared" si="53"/>
        <v>58295.005340028547</v>
      </c>
      <c r="M199" s="1">
        <f t="shared" si="54"/>
        <v>510664246.77865005</v>
      </c>
      <c r="N199">
        <f t="shared" si="55"/>
        <v>1.0328868731643698E+58</v>
      </c>
      <c r="O199">
        <v>13.84200122</v>
      </c>
      <c r="P199" s="1">
        <f t="shared" si="56"/>
        <v>6.021214578676233E+62</v>
      </c>
      <c r="Q199" s="1">
        <f t="shared" si="57"/>
        <v>4.3499595780820435E+61</v>
      </c>
    </row>
    <row r="200" spans="1:17" x14ac:dyDescent="0.2">
      <c r="A200">
        <f t="shared" si="58"/>
        <v>199</v>
      </c>
      <c r="B200">
        <f t="shared" si="50"/>
        <v>136.36363636363637</v>
      </c>
      <c r="C200">
        <f t="shared" si="59"/>
        <v>199000</v>
      </c>
      <c r="E200" t="s">
        <v>4</v>
      </c>
      <c r="F200">
        <v>19.272977480000002</v>
      </c>
      <c r="G200">
        <v>43.429000000000002</v>
      </c>
      <c r="H200">
        <f t="shared" si="51"/>
        <v>0.44378128623730689</v>
      </c>
      <c r="I200">
        <v>3834.6436100000001</v>
      </c>
      <c r="J200">
        <f t="shared" si="52"/>
        <v>8640.8411731662545</v>
      </c>
      <c r="K200" s="1">
        <v>1.3400000000000001E-6</v>
      </c>
      <c r="L200" s="1">
        <f t="shared" si="53"/>
        <v>50411.229623098814</v>
      </c>
      <c r="M200" s="1">
        <f t="shared" si="54"/>
        <v>441602371.49834561</v>
      </c>
      <c r="N200">
        <f t="shared" si="55"/>
        <v>5.8590989067636445E+142</v>
      </c>
      <c r="O200">
        <v>15.72384428</v>
      </c>
      <c r="P200" s="1">
        <f t="shared" si="56"/>
        <v>2.9536438037330933E+147</v>
      </c>
      <c r="Q200" s="1">
        <f t="shared" si="57"/>
        <v>1.8784489029123693E+146</v>
      </c>
    </row>
    <row r="201" spans="1:17" x14ac:dyDescent="0.2">
      <c r="A201">
        <f t="shared" si="58"/>
        <v>200</v>
      </c>
      <c r="B201">
        <f>3000/22</f>
        <v>136.36363636363637</v>
      </c>
      <c r="C201">
        <f t="shared" si="59"/>
        <v>200000</v>
      </c>
      <c r="E201" t="s">
        <v>4</v>
      </c>
      <c r="F201">
        <v>19.150068399999999</v>
      </c>
      <c r="G201">
        <v>43.429000000000002</v>
      </c>
      <c r="H201">
        <f t="shared" si="51"/>
        <v>0.44095117087660313</v>
      </c>
      <c r="I201">
        <v>421.72668670000002</v>
      </c>
      <c r="J201">
        <f t="shared" si="52"/>
        <v>956.40223805646065</v>
      </c>
      <c r="K201" s="1">
        <v>1.3599999999999999E-6</v>
      </c>
      <c r="L201" s="1">
        <f t="shared" si="53"/>
        <v>49038.3909841356</v>
      </c>
      <c r="M201" s="1">
        <f t="shared" si="54"/>
        <v>429576305.02102786</v>
      </c>
      <c r="N201">
        <f t="shared" si="55"/>
        <v>7235358641810684</v>
      </c>
      <c r="O201">
        <v>15.434914839999999</v>
      </c>
      <c r="P201" s="1">
        <f t="shared" si="56"/>
        <v>3.5481034598755664E+20</v>
      </c>
      <c r="Q201" s="1">
        <f t="shared" si="57"/>
        <v>2.2987515620627595E+19</v>
      </c>
    </row>
    <row r="202" spans="1:17" x14ac:dyDescent="0.2">
      <c r="A202">
        <f t="shared" si="58"/>
        <v>201</v>
      </c>
      <c r="B202">
        <f t="shared" ref="B202:B211" si="60">3000/22</f>
        <v>136.36363636363637</v>
      </c>
      <c r="C202">
        <f t="shared" si="59"/>
        <v>201000</v>
      </c>
      <c r="E202" t="s">
        <v>4</v>
      </c>
      <c r="F202">
        <v>18.637125609999998</v>
      </c>
      <c r="G202">
        <v>43.429000000000002</v>
      </c>
      <c r="H202">
        <f t="shared" si="51"/>
        <v>0.4291401047687029</v>
      </c>
      <c r="I202">
        <v>1347.7422180000001</v>
      </c>
      <c r="J202">
        <f t="shared" si="52"/>
        <v>3140.5645918980317</v>
      </c>
      <c r="K202" s="1">
        <v>1.4699999999999999E-6</v>
      </c>
      <c r="L202" s="1">
        <f t="shared" si="53"/>
        <v>42970.953554875116</v>
      </c>
      <c r="M202" s="1">
        <f t="shared" si="54"/>
        <v>376425553.140706</v>
      </c>
      <c r="N202">
        <f t="shared" si="55"/>
        <v>8.5282916231228271E+51</v>
      </c>
      <c r="O202">
        <v>16.970802920000001</v>
      </c>
      <c r="P202" s="1">
        <f t="shared" si="56"/>
        <v>3.6646882323964153E+56</v>
      </c>
      <c r="Q202" s="1">
        <f t="shared" si="57"/>
        <v>2.159407689589984E+55</v>
      </c>
    </row>
    <row r="203" spans="1:17" x14ac:dyDescent="0.2">
      <c r="A203">
        <f t="shared" si="58"/>
        <v>202</v>
      </c>
      <c r="B203">
        <f t="shared" si="60"/>
        <v>136.36363636363637</v>
      </c>
      <c r="C203">
        <f t="shared" si="59"/>
        <v>202000</v>
      </c>
      <c r="E203" t="s">
        <v>4</v>
      </c>
      <c r="F203">
        <v>18.568465610000001</v>
      </c>
      <c r="G203">
        <v>43.429000000000002</v>
      </c>
      <c r="H203">
        <f t="shared" si="51"/>
        <v>0.42755913352828756</v>
      </c>
      <c r="I203">
        <v>446.95095679999997</v>
      </c>
      <c r="J203">
        <f t="shared" si="52"/>
        <v>1045.3547164615288</v>
      </c>
      <c r="K203" s="1">
        <v>1.48E-6</v>
      </c>
      <c r="L203" s="1">
        <f t="shared" si="53"/>
        <v>42366.714015923506</v>
      </c>
      <c r="M203" s="1">
        <f t="shared" si="54"/>
        <v>371132414.77948993</v>
      </c>
      <c r="N203">
        <f t="shared" si="55"/>
        <v>2.1306329724504902E+17</v>
      </c>
      <c r="O203">
        <v>17.392791970000001</v>
      </c>
      <c r="P203" s="1">
        <f t="shared" si="56"/>
        <v>9.0267917816706944E+21</v>
      </c>
      <c r="Q203" s="1">
        <f t="shared" si="57"/>
        <v>5.1899613341208117E+20</v>
      </c>
    </row>
    <row r="204" spans="1:17" x14ac:dyDescent="0.2">
      <c r="A204">
        <f t="shared" si="58"/>
        <v>203</v>
      </c>
      <c r="B204">
        <f t="shared" si="60"/>
        <v>136.36363636363637</v>
      </c>
      <c r="C204">
        <f t="shared" si="59"/>
        <v>203000</v>
      </c>
      <c r="E204" t="s">
        <v>4</v>
      </c>
      <c r="F204">
        <v>19.379736149999999</v>
      </c>
      <c r="G204">
        <v>43.429000000000002</v>
      </c>
      <c r="H204">
        <f t="shared" si="51"/>
        <v>0.44623952082709706</v>
      </c>
      <c r="I204">
        <v>1909.763363</v>
      </c>
      <c r="J204">
        <f t="shared" si="52"/>
        <v>4279.6822644939366</v>
      </c>
      <c r="K204" s="1">
        <v>1.3200000000000001E-6</v>
      </c>
      <c r="L204" s="1">
        <f t="shared" si="53"/>
        <v>51743.553418305331</v>
      </c>
      <c r="M204" s="1">
        <f t="shared" si="54"/>
        <v>453273527.94435471</v>
      </c>
      <c r="N204">
        <f t="shared" si="55"/>
        <v>5.5382162826999617E+70</v>
      </c>
      <c r="O204">
        <v>17.506843069999999</v>
      </c>
      <c r="P204" s="1">
        <f t="shared" si="56"/>
        <v>2.8656699006601386E+75</v>
      </c>
      <c r="Q204" s="1">
        <f t="shared" si="57"/>
        <v>1.6368855819418381E+74</v>
      </c>
    </row>
    <row r="205" spans="1:17" x14ac:dyDescent="0.2">
      <c r="A205">
        <f t="shared" si="58"/>
        <v>204</v>
      </c>
      <c r="B205">
        <f t="shared" si="60"/>
        <v>136.36363636363637</v>
      </c>
      <c r="C205">
        <f t="shared" si="59"/>
        <v>204000</v>
      </c>
      <c r="E205" t="s">
        <v>4</v>
      </c>
      <c r="F205">
        <v>19.23655123</v>
      </c>
      <c r="G205">
        <v>43.429000000000002</v>
      </c>
      <c r="H205">
        <f t="shared" si="51"/>
        <v>0.44294253217895874</v>
      </c>
      <c r="I205">
        <v>2023.9899190000001</v>
      </c>
      <c r="J205">
        <f t="shared" si="52"/>
        <v>4569.4187664558312</v>
      </c>
      <c r="K205" s="1">
        <v>1.35E-6</v>
      </c>
      <c r="L205" s="1">
        <f t="shared" si="53"/>
        <v>49848.847242145195</v>
      </c>
      <c r="M205" s="1">
        <f t="shared" si="54"/>
        <v>436675901.84119189</v>
      </c>
      <c r="N205">
        <f t="shared" si="55"/>
        <v>3.3756936714750856E+75</v>
      </c>
      <c r="O205">
        <v>17.134276159999999</v>
      </c>
      <c r="P205" s="1">
        <f t="shared" si="56"/>
        <v>1.682744381656378E+80</v>
      </c>
      <c r="Q205" s="1">
        <f t="shared" si="57"/>
        <v>9.8209248289387792E+78</v>
      </c>
    </row>
    <row r="206" spans="1:17" x14ac:dyDescent="0.2">
      <c r="A206">
        <f t="shared" si="58"/>
        <v>205</v>
      </c>
      <c r="B206">
        <f t="shared" si="60"/>
        <v>136.36363636363637</v>
      </c>
      <c r="C206">
        <f t="shared" si="59"/>
        <v>205000</v>
      </c>
      <c r="E206" t="s">
        <v>4</v>
      </c>
      <c r="F206">
        <v>19.141037319999999</v>
      </c>
      <c r="G206">
        <v>43.429000000000002</v>
      </c>
      <c r="H206">
        <f t="shared" si="51"/>
        <v>0.4407432204287457</v>
      </c>
      <c r="I206">
        <v>2553.4272850000002</v>
      </c>
      <c r="J206">
        <f t="shared" si="52"/>
        <v>5793.4578835179364</v>
      </c>
      <c r="K206" s="1">
        <v>1.3599999999999999E-6</v>
      </c>
      <c r="L206" s="1">
        <f t="shared" si="53"/>
        <v>48992.149352491448</v>
      </c>
      <c r="M206" s="1">
        <f t="shared" si="54"/>
        <v>429171228.32782507</v>
      </c>
      <c r="N206">
        <f t="shared" si="55"/>
        <v>5.5379244504605419E+95</v>
      </c>
      <c r="O206">
        <v>16.411952549999999</v>
      </c>
      <c r="P206" s="1">
        <f t="shared" si="56"/>
        <v>2.7131482177977701E+100</v>
      </c>
      <c r="Q206" s="1">
        <f t="shared" si="57"/>
        <v>1.6531538276947859E+99</v>
      </c>
    </row>
    <row r="207" spans="1:17" x14ac:dyDescent="0.2">
      <c r="A207">
        <f t="shared" si="58"/>
        <v>206</v>
      </c>
      <c r="B207">
        <f t="shared" si="60"/>
        <v>136.36363636363637</v>
      </c>
      <c r="C207">
        <f t="shared" si="59"/>
        <v>206000</v>
      </c>
      <c r="E207" t="s">
        <v>4</v>
      </c>
      <c r="F207">
        <v>18.822174530000002</v>
      </c>
      <c r="G207">
        <v>43.429000000000002</v>
      </c>
      <c r="H207">
        <f t="shared" si="51"/>
        <v>0.43340105758824748</v>
      </c>
      <c r="I207">
        <v>563.86484810000002</v>
      </c>
      <c r="J207">
        <f t="shared" si="52"/>
        <v>1301.0232398548958</v>
      </c>
      <c r="K207" s="1">
        <v>1.4300000000000001E-6</v>
      </c>
      <c r="L207" s="1">
        <f t="shared" si="53"/>
        <v>45054.483576562045</v>
      </c>
      <c r="M207" s="1">
        <f t="shared" si="54"/>
        <v>394677276.13068348</v>
      </c>
      <c r="N207">
        <f t="shared" si="55"/>
        <v>3.555246420683801E+21</v>
      </c>
      <c r="O207">
        <v>16.39294404</v>
      </c>
      <c r="P207" s="1">
        <f t="shared" si="56"/>
        <v>1.6017979147132929E+26</v>
      </c>
      <c r="Q207" s="1">
        <f t="shared" si="57"/>
        <v>9.7712644586889769E+24</v>
      </c>
    </row>
    <row r="208" spans="1:17" x14ac:dyDescent="0.2">
      <c r="A208">
        <f t="shared" si="58"/>
        <v>207</v>
      </c>
      <c r="B208">
        <f t="shared" si="60"/>
        <v>136.36363636363637</v>
      </c>
      <c r="C208">
        <f t="shared" si="59"/>
        <v>207000</v>
      </c>
      <c r="E208" t="s">
        <v>4</v>
      </c>
      <c r="F208">
        <v>18.561668869999998</v>
      </c>
      <c r="G208">
        <v>43.429000000000002</v>
      </c>
      <c r="H208">
        <f t="shared" si="51"/>
        <v>0.42740263119113953</v>
      </c>
      <c r="I208">
        <v>563.86484810000002</v>
      </c>
      <c r="J208">
        <f t="shared" si="52"/>
        <v>1319.2825849680671</v>
      </c>
      <c r="K208" s="1">
        <v>1.4899999999999999E-6</v>
      </c>
      <c r="L208" s="1">
        <f t="shared" si="53"/>
        <v>42051.571904794953</v>
      </c>
      <c r="M208" s="1">
        <f t="shared" si="54"/>
        <v>368371769.88600379</v>
      </c>
      <c r="N208">
        <f t="shared" si="55"/>
        <v>7.1190568967607513E+21</v>
      </c>
      <c r="O208">
        <v>16.65906326</v>
      </c>
      <c r="P208" s="1">
        <f t="shared" si="56"/>
        <v>2.9936753298846117E+26</v>
      </c>
      <c r="Q208" s="1">
        <f t="shared" si="57"/>
        <v>1.7970250086466216E+25</v>
      </c>
    </row>
    <row r="209" spans="1:17" x14ac:dyDescent="0.2">
      <c r="A209">
        <f t="shared" si="58"/>
        <v>208</v>
      </c>
      <c r="B209">
        <f t="shared" si="60"/>
        <v>136.36363636363637</v>
      </c>
      <c r="C209">
        <f t="shared" si="59"/>
        <v>208000</v>
      </c>
      <c r="E209" t="s">
        <v>4</v>
      </c>
      <c r="F209">
        <v>19.018424249999999</v>
      </c>
      <c r="G209">
        <v>43.429000000000002</v>
      </c>
      <c r="H209">
        <f t="shared" si="51"/>
        <v>0.43791992102051619</v>
      </c>
      <c r="I209">
        <v>446.95095679999997</v>
      </c>
      <c r="J209">
        <f t="shared" si="52"/>
        <v>1020.6225735482371</v>
      </c>
      <c r="K209" s="1">
        <v>1.39E-6</v>
      </c>
      <c r="L209" s="1">
        <f t="shared" si="53"/>
        <v>47322.613689733094</v>
      </c>
      <c r="M209" s="1">
        <f t="shared" si="54"/>
        <v>414546095.92206192</v>
      </c>
      <c r="N209">
        <f t="shared" si="55"/>
        <v>8.318743785115688E+16</v>
      </c>
      <c r="O209">
        <v>14.87986618</v>
      </c>
      <c r="P209" s="1">
        <f t="shared" si="56"/>
        <v>3.9366469852689775E+21</v>
      </c>
      <c r="Q209" s="1">
        <f t="shared" si="57"/>
        <v>2.6456198850499186E+20</v>
      </c>
    </row>
    <row r="210" spans="1:17" x14ac:dyDescent="0.2">
      <c r="A210">
        <f t="shared" si="58"/>
        <v>209</v>
      </c>
      <c r="B210">
        <f t="shared" si="60"/>
        <v>136.36363636363637</v>
      </c>
      <c r="C210">
        <f t="shared" si="59"/>
        <v>209000</v>
      </c>
      <c r="E210" t="s">
        <v>4</v>
      </c>
      <c r="F210">
        <v>17.87337089</v>
      </c>
      <c r="G210">
        <v>43.429000000000002</v>
      </c>
      <c r="H210">
        <f t="shared" si="51"/>
        <v>0.41155382094913534</v>
      </c>
      <c r="I210">
        <v>280.82099360000001</v>
      </c>
      <c r="J210">
        <f t="shared" si="52"/>
        <v>682.34330312464078</v>
      </c>
      <c r="K210" s="1">
        <v>1.6500000000000001E-6</v>
      </c>
      <c r="L210" s="1">
        <f t="shared" si="53"/>
        <v>35209.79139725861</v>
      </c>
      <c r="M210" s="1">
        <f t="shared" si="54"/>
        <v>308437772.63998544</v>
      </c>
      <c r="N210">
        <f t="shared" si="55"/>
        <v>215467455559.00919</v>
      </c>
      <c r="O210">
        <v>14.263990270000001</v>
      </c>
      <c r="P210" s="1">
        <f t="shared" si="56"/>
        <v>7586564163130804</v>
      </c>
      <c r="Q210" s="1">
        <f t="shared" si="57"/>
        <v>531868293480741.69</v>
      </c>
    </row>
    <row r="211" spans="1:17" x14ac:dyDescent="0.2">
      <c r="A211">
        <f t="shared" si="58"/>
        <v>210</v>
      </c>
      <c r="B211">
        <f t="shared" si="60"/>
        <v>136.36363636363637</v>
      </c>
      <c r="C211">
        <f t="shared" si="59"/>
        <v>210000</v>
      </c>
      <c r="E211" t="s">
        <v>4</v>
      </c>
      <c r="F211">
        <v>17.758190070000001</v>
      </c>
      <c r="G211">
        <v>43.429000000000002</v>
      </c>
      <c r="H211">
        <f t="shared" si="51"/>
        <v>0.40890165718759353</v>
      </c>
      <c r="I211">
        <v>753.90905290000001</v>
      </c>
      <c r="J211">
        <f t="shared" si="52"/>
        <v>1843.7417399708067</v>
      </c>
      <c r="K211" s="1">
        <v>1.68E-6</v>
      </c>
      <c r="L211" s="1">
        <f t="shared" si="53"/>
        <v>34136.782072030226</v>
      </c>
      <c r="M211" s="1">
        <f t="shared" si="54"/>
        <v>299038210.95098478</v>
      </c>
      <c r="N211">
        <f t="shared" si="55"/>
        <v>3.2647954272732845E+30</v>
      </c>
      <c r="O211">
        <v>10.70939781</v>
      </c>
      <c r="P211" s="1">
        <f t="shared" si="56"/>
        <v>1.1144961001058893E+35</v>
      </c>
      <c r="Q211" s="1">
        <f t="shared" si="57"/>
        <v>1.0406711188421988E+34</v>
      </c>
    </row>
    <row r="212" spans="1:17" x14ac:dyDescent="0.2">
      <c r="A212">
        <f t="shared" si="58"/>
        <v>211</v>
      </c>
      <c r="B212">
        <f t="shared" ref="B212:B215" si="61">3000/21</f>
        <v>142.85714285714286</v>
      </c>
      <c r="C212">
        <f t="shared" si="59"/>
        <v>211000</v>
      </c>
      <c r="E212" t="s">
        <v>4</v>
      </c>
      <c r="F212">
        <v>17.527352759999999</v>
      </c>
      <c r="G212">
        <v>43.429000000000002</v>
      </c>
      <c r="H212">
        <f t="shared" si="51"/>
        <v>0.40358637684496529</v>
      </c>
      <c r="I212">
        <v>2273.3479900000002</v>
      </c>
      <c r="J212">
        <f t="shared" si="52"/>
        <v>5632.8660242991555</v>
      </c>
      <c r="K212" s="1">
        <v>1.7400000000000001E-6</v>
      </c>
      <c r="L212" s="1">
        <f t="shared" si="53"/>
        <v>32108.341095501317</v>
      </c>
      <c r="M212" s="1">
        <f t="shared" si="54"/>
        <v>281269067.99659151</v>
      </c>
      <c r="N212">
        <f t="shared" si="55"/>
        <v>1.2336028408666455E+93</v>
      </c>
      <c r="O212">
        <v>12.283302920000001</v>
      </c>
      <c r="P212" s="1">
        <f t="shared" si="56"/>
        <v>3.9608940790925684E+97</v>
      </c>
      <c r="Q212" s="1">
        <f t="shared" si="57"/>
        <v>3.2246164609710432E+96</v>
      </c>
    </row>
    <row r="213" spans="1:17" x14ac:dyDescent="0.2">
      <c r="A213">
        <f t="shared" si="58"/>
        <v>212</v>
      </c>
      <c r="B213">
        <f t="shared" si="61"/>
        <v>142.85714285714286</v>
      </c>
      <c r="C213">
        <f t="shared" si="59"/>
        <v>212000</v>
      </c>
      <c r="E213" t="s">
        <v>4</v>
      </c>
      <c r="F213">
        <v>17.36608974</v>
      </c>
      <c r="G213">
        <v>43.429000000000002</v>
      </c>
      <c r="H213">
        <f t="shared" si="51"/>
        <v>0.39987312026526051</v>
      </c>
      <c r="I213">
        <v>671.21458289999998</v>
      </c>
      <c r="J213">
        <f t="shared" si="52"/>
        <v>1678.5688981913611</v>
      </c>
      <c r="K213" s="1">
        <v>1.79E-6</v>
      </c>
      <c r="L213" s="1">
        <f t="shared" si="53"/>
        <v>30639.770794727207</v>
      </c>
      <c r="M213" s="1">
        <f t="shared" si="54"/>
        <v>268404392.16181034</v>
      </c>
      <c r="N213">
        <f t="shared" si="55"/>
        <v>6.1098347333024112E+27</v>
      </c>
      <c r="O213">
        <v>12.944799270000001</v>
      </c>
      <c r="P213" s="1">
        <f t="shared" si="56"/>
        <v>1.872039358220491E+32</v>
      </c>
      <c r="Q213" s="1">
        <f t="shared" si="57"/>
        <v>1.4461710214070326E+31</v>
      </c>
    </row>
    <row r="214" spans="1:17" x14ac:dyDescent="0.2">
      <c r="A214">
        <f t="shared" si="58"/>
        <v>213</v>
      </c>
      <c r="B214">
        <f t="shared" si="61"/>
        <v>142.85714285714286</v>
      </c>
      <c r="C214">
        <f t="shared" si="59"/>
        <v>213000</v>
      </c>
      <c r="E214" t="s">
        <v>4</v>
      </c>
      <c r="F214">
        <v>17.125924019999999</v>
      </c>
      <c r="G214">
        <v>43.429000000000002</v>
      </c>
      <c r="H214">
        <f t="shared" si="51"/>
        <v>0.39434304312786383</v>
      </c>
      <c r="I214">
        <v>502.01586959999997</v>
      </c>
      <c r="J214">
        <f t="shared" si="52"/>
        <v>1273.0435552205843</v>
      </c>
      <c r="K214" s="1">
        <v>1.86E-6</v>
      </c>
      <c r="L214" s="1">
        <f t="shared" si="53"/>
        <v>28676.724426089833</v>
      </c>
      <c r="M214" s="1">
        <f t="shared" si="54"/>
        <v>251208105.97254694</v>
      </c>
      <c r="N214">
        <f t="shared" si="55"/>
        <v>1.226833763128014E+21</v>
      </c>
      <c r="O214">
        <v>13.06265207</v>
      </c>
      <c r="P214" s="1">
        <f t="shared" si="56"/>
        <v>3.5181573741844829E+25</v>
      </c>
      <c r="Q214" s="1">
        <f t="shared" si="57"/>
        <v>2.6932948648799791E+24</v>
      </c>
    </row>
    <row r="215" spans="1:17" x14ac:dyDescent="0.2">
      <c r="A215">
        <f t="shared" si="58"/>
        <v>214</v>
      </c>
      <c r="B215">
        <f t="shared" si="61"/>
        <v>142.85714285714286</v>
      </c>
      <c r="C215">
        <f t="shared" si="59"/>
        <v>214000</v>
      </c>
      <c r="E215" t="s">
        <v>4</v>
      </c>
      <c r="F215">
        <v>16.967476900000001</v>
      </c>
      <c r="G215">
        <v>43.429000000000002</v>
      </c>
      <c r="H215">
        <f t="shared" si="51"/>
        <v>0.3906946257109305</v>
      </c>
      <c r="I215">
        <v>633.33369760000005</v>
      </c>
      <c r="J215">
        <f t="shared" si="52"/>
        <v>1621.045327786502</v>
      </c>
      <c r="K215" s="1">
        <v>1.9099999999999999E-6</v>
      </c>
      <c r="L215" s="1">
        <f t="shared" si="53"/>
        <v>27411.678357002933</v>
      </c>
      <c r="M215" s="1">
        <f t="shared" si="54"/>
        <v>240126302.40734568</v>
      </c>
      <c r="N215">
        <f t="shared" si="55"/>
        <v>6.8553357948065878E+26</v>
      </c>
      <c r="O215">
        <v>14.19555961</v>
      </c>
      <c r="P215" s="1">
        <f t="shared" si="56"/>
        <v>1.8791625983648725E+31</v>
      </c>
      <c r="Q215" s="1">
        <f t="shared" si="57"/>
        <v>1.3237678893906405E+30</v>
      </c>
    </row>
    <row r="216" spans="1:17" x14ac:dyDescent="0.2">
      <c r="A216">
        <f t="shared" si="58"/>
        <v>215</v>
      </c>
      <c r="B216">
        <f t="shared" ref="B216:B220" si="62">3000/21</f>
        <v>142.85714285714286</v>
      </c>
      <c r="C216">
        <f t="shared" si="59"/>
        <v>215000</v>
      </c>
      <c r="E216" t="s">
        <v>4</v>
      </c>
      <c r="F216">
        <v>16.628869609999999</v>
      </c>
      <c r="G216">
        <v>43.429000000000002</v>
      </c>
      <c r="H216">
        <f t="shared" si="51"/>
        <v>0.38289782426489211</v>
      </c>
      <c r="I216">
        <v>3039.5539570000001</v>
      </c>
      <c r="J216">
        <f t="shared" si="52"/>
        <v>7938.2899676578199</v>
      </c>
      <c r="K216" s="1">
        <v>2.0200000000000001E-6</v>
      </c>
      <c r="L216" s="1">
        <f t="shared" si="53"/>
        <v>24894.794620093246</v>
      </c>
      <c r="M216" s="1">
        <f t="shared" si="54"/>
        <v>218078400.87201682</v>
      </c>
      <c r="N216">
        <f t="shared" si="55"/>
        <v>1.4628854137482097E+131</v>
      </c>
      <c r="O216">
        <v>13.617700729999999</v>
      </c>
      <c r="P216" s="1">
        <f t="shared" si="56"/>
        <v>3.6418231927991814E+135</v>
      </c>
      <c r="Q216" s="1">
        <f t="shared" si="57"/>
        <v>2.6743304651835902E+134</v>
      </c>
    </row>
    <row r="217" spans="1:17" x14ac:dyDescent="0.2">
      <c r="A217">
        <f t="shared" si="58"/>
        <v>216</v>
      </c>
      <c r="B217">
        <f t="shared" si="62"/>
        <v>142.85714285714286</v>
      </c>
      <c r="C217">
        <f t="shared" si="59"/>
        <v>216000</v>
      </c>
      <c r="E217" t="s">
        <v>4</v>
      </c>
      <c r="F217">
        <v>16.494456929999998</v>
      </c>
      <c r="G217">
        <v>43.429000000000002</v>
      </c>
      <c r="H217">
        <f t="shared" si="51"/>
        <v>0.37980282599184872</v>
      </c>
      <c r="I217">
        <v>2553.4272850000002</v>
      </c>
      <c r="J217">
        <f t="shared" si="52"/>
        <v>6723.0339277538751</v>
      </c>
      <c r="K217" s="1">
        <v>2.0700000000000001E-6</v>
      </c>
      <c r="L217" s="1">
        <f t="shared" si="53"/>
        <v>23902.325610902571</v>
      </c>
      <c r="M217" s="1">
        <f t="shared" si="54"/>
        <v>209384372.35150653</v>
      </c>
      <c r="N217">
        <f t="shared" si="55"/>
        <v>1.2453134356422745E+111</v>
      </c>
      <c r="O217">
        <v>15.00912409</v>
      </c>
      <c r="P217" s="1">
        <f t="shared" si="56"/>
        <v>2.9765887226353409E+115</v>
      </c>
      <c r="Q217" s="1">
        <f t="shared" si="57"/>
        <v>1.9831861638205303E+114</v>
      </c>
    </row>
    <row r="218" spans="1:17" x14ac:dyDescent="0.2">
      <c r="A218">
        <f t="shared" si="58"/>
        <v>217</v>
      </c>
      <c r="B218">
        <f t="shared" si="62"/>
        <v>142.85714285714286</v>
      </c>
      <c r="C218">
        <f t="shared" si="59"/>
        <v>217000</v>
      </c>
      <c r="E218" t="s">
        <v>4</v>
      </c>
      <c r="F218">
        <v>16.50745714</v>
      </c>
      <c r="G218">
        <v>43.429000000000002</v>
      </c>
      <c r="H218">
        <f t="shared" si="51"/>
        <v>0.3801021699785857</v>
      </c>
      <c r="I218">
        <v>4564.6908469999998</v>
      </c>
      <c r="J218">
        <f t="shared" si="52"/>
        <v>12009.115462974512</v>
      </c>
      <c r="K218" s="1">
        <v>2.0700000000000001E-6</v>
      </c>
      <c r="L218" s="1">
        <f t="shared" si="53"/>
        <v>23940.01799540743</v>
      </c>
      <c r="M218" s="1">
        <f t="shared" si="54"/>
        <v>209714557.63976908</v>
      </c>
      <c r="N218">
        <f t="shared" si="55"/>
        <v>2.4821048804948846E+198</v>
      </c>
      <c r="O218">
        <v>14.153740880000001</v>
      </c>
      <c r="P218" s="1">
        <f t="shared" si="56"/>
        <v>5.9421635505536143E+202</v>
      </c>
      <c r="Q218" s="1">
        <f t="shared" si="57"/>
        <v>4.1982989521520857E+201</v>
      </c>
    </row>
    <row r="219" spans="1:17" x14ac:dyDescent="0.2">
      <c r="A219">
        <f t="shared" si="58"/>
        <v>218</v>
      </c>
      <c r="B219">
        <f t="shared" si="62"/>
        <v>142.85714285714286</v>
      </c>
      <c r="C219">
        <f t="shared" si="59"/>
        <v>218000</v>
      </c>
      <c r="E219" t="s">
        <v>4</v>
      </c>
      <c r="F219">
        <v>16.825060310000001</v>
      </c>
      <c r="G219">
        <v>43.429000000000002</v>
      </c>
      <c r="H219">
        <f t="shared" si="51"/>
        <v>0.38741532869741419</v>
      </c>
      <c r="I219">
        <v>633.33369760000005</v>
      </c>
      <c r="J219">
        <f t="shared" si="52"/>
        <v>1634.7667494970424</v>
      </c>
      <c r="K219" s="1">
        <v>1.9599999999999999E-6</v>
      </c>
      <c r="L219" s="1">
        <f t="shared" si="53"/>
        <v>26265.861459201962</v>
      </c>
      <c r="M219" s="1">
        <f t="shared" si="54"/>
        <v>230088946.38260919</v>
      </c>
      <c r="N219">
        <f t="shared" si="55"/>
        <v>1.155148358708878E+27</v>
      </c>
      <c r="O219">
        <v>12.165450119999999</v>
      </c>
      <c r="P219" s="1">
        <f t="shared" si="56"/>
        <v>3.0340966754671921E+31</v>
      </c>
      <c r="Q219" s="1">
        <f t="shared" si="57"/>
        <v>2.4940274675732199E+30</v>
      </c>
    </row>
    <row r="220" spans="1:17" x14ac:dyDescent="0.2">
      <c r="A220">
        <f t="shared" si="58"/>
        <v>219</v>
      </c>
      <c r="B220">
        <f t="shared" si="62"/>
        <v>142.85714285714286</v>
      </c>
      <c r="C220">
        <f t="shared" si="59"/>
        <v>219000</v>
      </c>
      <c r="E220" t="s">
        <v>4</v>
      </c>
      <c r="F220">
        <v>16.536492030000002</v>
      </c>
      <c r="G220">
        <v>43.429000000000002</v>
      </c>
      <c r="H220">
        <f t="shared" si="51"/>
        <v>0.38077072992700733</v>
      </c>
      <c r="I220">
        <v>280.82099360000001</v>
      </c>
      <c r="J220">
        <f t="shared" si="52"/>
        <v>737.50677646318195</v>
      </c>
      <c r="K220" s="1">
        <v>2.0600000000000002E-6</v>
      </c>
      <c r="L220" s="1">
        <f t="shared" si="53"/>
        <v>24140.930887289836</v>
      </c>
      <c r="M220" s="1">
        <f t="shared" si="54"/>
        <v>211474554.57265896</v>
      </c>
      <c r="N220">
        <f t="shared" si="55"/>
        <v>1755518671369.9089</v>
      </c>
      <c r="O220">
        <v>14.56812652</v>
      </c>
      <c r="P220" s="1">
        <f t="shared" si="56"/>
        <v>4.2379854916887848E+16</v>
      </c>
      <c r="Q220" s="1">
        <f t="shared" si="57"/>
        <v>2909080646623039.5</v>
      </c>
    </row>
    <row r="221" spans="1:17" x14ac:dyDescent="0.2">
      <c r="A221">
        <f t="shared" si="58"/>
        <v>220</v>
      </c>
      <c r="B221">
        <f>3000/21</f>
        <v>142.85714285714286</v>
      </c>
      <c r="C221">
        <f t="shared" si="59"/>
        <v>220000</v>
      </c>
      <c r="E221" t="s">
        <v>4</v>
      </c>
      <c r="F221">
        <v>16.54456742</v>
      </c>
      <c r="G221">
        <v>43.429000000000002</v>
      </c>
      <c r="H221">
        <f t="shared" si="51"/>
        <v>0.38095667457229038</v>
      </c>
      <c r="I221">
        <v>502.01586959999997</v>
      </c>
      <c r="J221">
        <f t="shared" si="52"/>
        <v>1317.7768053640898</v>
      </c>
      <c r="K221" s="1">
        <v>2.0499999999999999E-6</v>
      </c>
      <c r="L221" s="1">
        <f t="shared" si="53"/>
        <v>24282.390170782463</v>
      </c>
      <c r="M221" s="1">
        <f t="shared" si="54"/>
        <v>212713737.89605436</v>
      </c>
      <c r="N221">
        <f t="shared" si="55"/>
        <v>6.7228673288805538E+21</v>
      </c>
      <c r="O221">
        <v>11.800486619999999</v>
      </c>
      <c r="P221" s="1">
        <f t="shared" si="56"/>
        <v>1.6324728754628369E+26</v>
      </c>
      <c r="Q221" s="1">
        <f t="shared" si="57"/>
        <v>1.3833945395913148E+25</v>
      </c>
    </row>
    <row r="222" spans="1:17" x14ac:dyDescent="0.2">
      <c r="A222">
        <f t="shared" si="58"/>
        <v>221</v>
      </c>
      <c r="B222">
        <f t="shared" ref="B222:B230" si="63">3000/21</f>
        <v>142.85714285714286</v>
      </c>
      <c r="C222">
        <f t="shared" si="59"/>
        <v>221000</v>
      </c>
      <c r="E222" t="s">
        <v>4</v>
      </c>
      <c r="F222">
        <v>16.303486100000001</v>
      </c>
      <c r="G222">
        <v>43.429000000000002</v>
      </c>
      <c r="H222">
        <f t="shared" si="51"/>
        <v>0.37540551474820971</v>
      </c>
      <c r="I222">
        <v>711.36119550000001</v>
      </c>
      <c r="J222">
        <f t="shared" si="52"/>
        <v>1894.9140797175583</v>
      </c>
      <c r="K222" s="1">
        <v>2.1399999999999998E-6</v>
      </c>
      <c r="L222" s="1">
        <f t="shared" si="53"/>
        <v>22588.200968530531</v>
      </c>
      <c r="M222" s="1">
        <f t="shared" si="54"/>
        <v>197872640.48432747</v>
      </c>
      <c r="N222">
        <f t="shared" si="55"/>
        <v>2.285421158558402E+31</v>
      </c>
      <c r="O222">
        <v>15.815085160000001</v>
      </c>
      <c r="P222" s="1">
        <f t="shared" si="56"/>
        <v>5.1623552427249061E+35</v>
      </c>
      <c r="Q222" s="1">
        <f t="shared" si="57"/>
        <v>3.2641969300182419E+34</v>
      </c>
    </row>
    <row r="223" spans="1:17" x14ac:dyDescent="0.2">
      <c r="A223">
        <f t="shared" si="58"/>
        <v>222</v>
      </c>
      <c r="B223">
        <f t="shared" si="63"/>
        <v>142.85714285714286</v>
      </c>
      <c r="C223">
        <f t="shared" si="59"/>
        <v>222000</v>
      </c>
      <c r="E223" t="s">
        <v>5</v>
      </c>
      <c r="F223">
        <v>25.789124480000002</v>
      </c>
      <c r="G223">
        <v>43.429000000000002</v>
      </c>
      <c r="H223">
        <f t="shared" si="51"/>
        <v>0.5938226641184462</v>
      </c>
      <c r="I223">
        <v>1271.6805979999999</v>
      </c>
      <c r="J223">
        <f t="shared" si="52"/>
        <v>2141.5157669804694</v>
      </c>
      <c r="K223" s="1">
        <v>2.0099999999999998E-6</v>
      </c>
      <c r="L223" s="1">
        <f t="shared" si="53"/>
        <v>60174.376742442808</v>
      </c>
      <c r="M223" s="1">
        <f t="shared" si="54"/>
        <v>527127540.26379901</v>
      </c>
      <c r="N223">
        <f t="shared" si="55"/>
        <v>2.7013986123480769E+35</v>
      </c>
      <c r="O223">
        <v>3.4367396590000001</v>
      </c>
      <c r="P223" s="1">
        <f t="shared" si="56"/>
        <v>1.6255497783094539E+40</v>
      </c>
      <c r="Q223" s="1">
        <f t="shared" si="57"/>
        <v>4.7299182934981046E+39</v>
      </c>
    </row>
    <row r="224" spans="1:17" x14ac:dyDescent="0.2">
      <c r="A224">
        <f t="shared" si="58"/>
        <v>223</v>
      </c>
      <c r="B224">
        <f t="shared" si="63"/>
        <v>142.85714285714286</v>
      </c>
      <c r="C224">
        <f t="shared" si="59"/>
        <v>223000</v>
      </c>
      <c r="E224" t="s">
        <v>5</v>
      </c>
      <c r="F224">
        <v>25.380427610000002</v>
      </c>
      <c r="G224">
        <v>43.429000000000002</v>
      </c>
      <c r="H224">
        <f t="shared" si="51"/>
        <v>0.58441197379631127</v>
      </c>
      <c r="I224">
        <v>1513.7857329999999</v>
      </c>
      <c r="J224">
        <f t="shared" si="52"/>
        <v>2590.2715907179704</v>
      </c>
      <c r="K224" s="1">
        <v>2.0999999999999998E-6</v>
      </c>
      <c r="L224" s="1">
        <f t="shared" si="53"/>
        <v>55784.434669028407</v>
      </c>
      <c r="M224" s="1">
        <f t="shared" si="54"/>
        <v>488671647.70068884</v>
      </c>
      <c r="N224">
        <f t="shared" si="55"/>
        <v>6.9627856905289363E+42</v>
      </c>
      <c r="O224">
        <v>5.2007299270000003</v>
      </c>
      <c r="P224" s="1">
        <f t="shared" si="56"/>
        <v>3.884150634677573E+47</v>
      </c>
      <c r="Q224" s="1">
        <f t="shared" si="57"/>
        <v>7.4684720975659549E+46</v>
      </c>
    </row>
    <row r="225" spans="1:17" x14ac:dyDescent="0.2">
      <c r="A225">
        <f t="shared" si="58"/>
        <v>224</v>
      </c>
      <c r="B225">
        <f t="shared" si="63"/>
        <v>142.85714285714286</v>
      </c>
      <c r="C225">
        <f t="shared" si="59"/>
        <v>224000</v>
      </c>
      <c r="E225" t="s">
        <v>5</v>
      </c>
      <c r="F225">
        <v>27.23615998</v>
      </c>
      <c r="G225">
        <v>43.429000000000002</v>
      </c>
      <c r="H225">
        <f t="shared" si="51"/>
        <v>0.62714223168850303</v>
      </c>
      <c r="I225">
        <v>3221.355423</v>
      </c>
      <c r="J225">
        <f t="shared" si="52"/>
        <v>5136.5627448288697</v>
      </c>
      <c r="K225" s="1">
        <v>1.73E-6</v>
      </c>
      <c r="L225" s="1">
        <f t="shared" si="53"/>
        <v>77979.439836509817</v>
      </c>
      <c r="M225" s="1">
        <f t="shared" si="54"/>
        <v>683099892.96782601</v>
      </c>
      <c r="N225">
        <f t="shared" si="55"/>
        <v>7.847577785706745E+84</v>
      </c>
      <c r="O225">
        <v>5.326186131</v>
      </c>
      <c r="P225" s="1">
        <f t="shared" si="56"/>
        <v>6.1194971980285002E+89</v>
      </c>
      <c r="Q225" s="1">
        <f t="shared" si="57"/>
        <v>1.1489454268995955E+89</v>
      </c>
    </row>
    <row r="226" spans="1:17" x14ac:dyDescent="0.2">
      <c r="A226">
        <f t="shared" si="58"/>
        <v>225</v>
      </c>
      <c r="B226">
        <f t="shared" si="63"/>
        <v>142.85714285714286</v>
      </c>
      <c r="C226">
        <f t="shared" si="59"/>
        <v>225000</v>
      </c>
      <c r="E226" t="s">
        <v>5</v>
      </c>
      <c r="F226">
        <v>28.267997279999999</v>
      </c>
      <c r="G226">
        <v>43.429000000000002</v>
      </c>
      <c r="H226">
        <f t="shared" si="51"/>
        <v>0.65090140873609792</v>
      </c>
      <c r="I226">
        <v>375.46850110000003</v>
      </c>
      <c r="J226">
        <f t="shared" si="52"/>
        <v>576.84389073465707</v>
      </c>
      <c r="K226" s="1">
        <v>1.5600000000000001E-6</v>
      </c>
      <c r="L226" s="1">
        <f t="shared" si="53"/>
        <v>93153.664651192594</v>
      </c>
      <c r="M226" s="1">
        <f t="shared" si="54"/>
        <v>816026102.34444714</v>
      </c>
      <c r="N226">
        <f t="shared" si="55"/>
        <v>3899965682.5639882</v>
      </c>
      <c r="O226">
        <v>3.8967457419999998</v>
      </c>
      <c r="P226" s="1">
        <f t="shared" si="56"/>
        <v>363296095344725.19</v>
      </c>
      <c r="Q226" s="1">
        <f t="shared" si="57"/>
        <v>93230638948042.812</v>
      </c>
    </row>
    <row r="227" spans="1:17" x14ac:dyDescent="0.2">
      <c r="A227">
        <f t="shared" si="58"/>
        <v>226</v>
      </c>
      <c r="B227">
        <f t="shared" si="63"/>
        <v>142.85714285714286</v>
      </c>
      <c r="C227">
        <f t="shared" si="59"/>
        <v>226000</v>
      </c>
      <c r="E227" t="s">
        <v>5</v>
      </c>
      <c r="F227">
        <v>26.49016198</v>
      </c>
      <c r="G227">
        <v>43.429000000000002</v>
      </c>
      <c r="H227">
        <f t="shared" si="51"/>
        <v>0.60996481567616101</v>
      </c>
      <c r="I227">
        <v>1801.9833349999999</v>
      </c>
      <c r="J227">
        <f t="shared" si="52"/>
        <v>2954.24143932377</v>
      </c>
      <c r="K227" s="1">
        <v>1.86E-6</v>
      </c>
      <c r="L227" s="1">
        <f t="shared" si="53"/>
        <v>68610.525372289572</v>
      </c>
      <c r="M227" s="1">
        <f t="shared" si="54"/>
        <v>601028202.26125669</v>
      </c>
      <c r="N227">
        <f t="shared" si="55"/>
        <v>7.140662878036149E+48</v>
      </c>
      <c r="O227">
        <v>3.3416970799999999</v>
      </c>
      <c r="P227" s="1">
        <f t="shared" si="56"/>
        <v>4.8992463156846547E+53</v>
      </c>
      <c r="Q227" s="1">
        <f t="shared" si="57"/>
        <v>1.466095279852432E+53</v>
      </c>
    </row>
    <row r="228" spans="1:17" x14ac:dyDescent="0.2">
      <c r="A228">
        <f t="shared" si="58"/>
        <v>227</v>
      </c>
      <c r="B228">
        <f t="shared" si="63"/>
        <v>142.85714285714286</v>
      </c>
      <c r="C228">
        <f t="shared" si="59"/>
        <v>227000</v>
      </c>
      <c r="E228" t="s">
        <v>5</v>
      </c>
      <c r="F228">
        <v>26.294474690000001</v>
      </c>
      <c r="G228">
        <v>43.429000000000002</v>
      </c>
      <c r="H228">
        <f t="shared" si="51"/>
        <v>0.60545890280688019</v>
      </c>
      <c r="I228">
        <v>897.43978930000003</v>
      </c>
      <c r="J228">
        <f t="shared" si="52"/>
        <v>1482.2472427765281</v>
      </c>
      <c r="K228" s="1">
        <v>1.9E-6</v>
      </c>
      <c r="L228" s="1">
        <f t="shared" si="53"/>
        <v>66177.424034169555</v>
      </c>
      <c r="M228" s="1">
        <f t="shared" si="54"/>
        <v>579714234.53932536</v>
      </c>
      <c r="N228">
        <f t="shared" si="55"/>
        <v>3.4976862987933032E+24</v>
      </c>
      <c r="O228">
        <v>4.9498175179999997</v>
      </c>
      <c r="P228" s="1">
        <f t="shared" si="56"/>
        <v>2.3146786933374951E+29</v>
      </c>
      <c r="Q228" s="1">
        <f t="shared" si="57"/>
        <v>4.6762909641015484E+28</v>
      </c>
    </row>
    <row r="229" spans="1:17" x14ac:dyDescent="0.2">
      <c r="A229">
        <f t="shared" si="58"/>
        <v>228</v>
      </c>
      <c r="B229">
        <f t="shared" si="63"/>
        <v>142.85714285714286</v>
      </c>
      <c r="C229">
        <f t="shared" si="59"/>
        <v>228000</v>
      </c>
      <c r="E229" t="s">
        <v>5</v>
      </c>
      <c r="F229">
        <v>27.267653209999999</v>
      </c>
      <c r="G229">
        <v>43.429000000000002</v>
      </c>
      <c r="H229">
        <f t="shared" si="51"/>
        <v>0.62786739759147103</v>
      </c>
      <c r="I229">
        <v>846.79158440000003</v>
      </c>
      <c r="J229">
        <f t="shared" si="52"/>
        <v>1348.6790166973672</v>
      </c>
      <c r="K229" s="1">
        <v>1.72E-6</v>
      </c>
      <c r="L229" s="1">
        <f t="shared" si="53"/>
        <v>78614.297588774542</v>
      </c>
      <c r="M229" s="1">
        <f t="shared" si="54"/>
        <v>688661246.87766504</v>
      </c>
      <c r="N229">
        <f t="shared" si="55"/>
        <v>2.1772284721694585E+22</v>
      </c>
      <c r="O229">
        <v>4.9916362530000002</v>
      </c>
      <c r="P229" s="1">
        <f t="shared" si="56"/>
        <v>1.7116128702988274E+27</v>
      </c>
      <c r="Q229" s="1">
        <f t="shared" si="57"/>
        <v>3.4289615339461864E+26</v>
      </c>
    </row>
    <row r="230" spans="1:17" x14ac:dyDescent="0.2">
      <c r="A230">
        <f t="shared" si="58"/>
        <v>229</v>
      </c>
      <c r="B230">
        <f t="shared" si="63"/>
        <v>142.85714285714286</v>
      </c>
      <c r="C230">
        <f t="shared" si="59"/>
        <v>229000</v>
      </c>
      <c r="E230" t="s">
        <v>5</v>
      </c>
      <c r="F230">
        <v>28.69738877</v>
      </c>
      <c r="G230">
        <v>43.429000000000002</v>
      </c>
      <c r="H230">
        <f t="shared" si="51"/>
        <v>0.66078861521103405</v>
      </c>
      <c r="I230">
        <v>502.01586959999997</v>
      </c>
      <c r="J230">
        <f t="shared" si="52"/>
        <v>759.72233486449022</v>
      </c>
      <c r="K230" s="1">
        <v>1.4899999999999999E-6</v>
      </c>
      <c r="L230" s="1">
        <f t="shared" si="53"/>
        <v>100515.4810331765</v>
      </c>
      <c r="M230" s="1">
        <f t="shared" si="54"/>
        <v>880515613.85062623</v>
      </c>
      <c r="N230">
        <f t="shared" si="55"/>
        <v>4085968368575.9517</v>
      </c>
      <c r="O230">
        <v>9.7437652069999992</v>
      </c>
      <c r="P230" s="1">
        <f t="shared" si="56"/>
        <v>4.107030760537552E+17</v>
      </c>
      <c r="Q230" s="1">
        <f t="shared" si="57"/>
        <v>4.215034612684456E+16</v>
      </c>
    </row>
    <row r="231" spans="1:17" x14ac:dyDescent="0.2">
      <c r="A231">
        <f t="shared" si="58"/>
        <v>230</v>
      </c>
      <c r="B231">
        <f>3000/21</f>
        <v>142.85714285714286</v>
      </c>
      <c r="C231">
        <f t="shared" si="59"/>
        <v>230000</v>
      </c>
      <c r="E231" t="s">
        <v>5</v>
      </c>
      <c r="F231">
        <v>29.455799030000001</v>
      </c>
      <c r="G231">
        <v>43.429000000000002</v>
      </c>
      <c r="H231">
        <f t="shared" si="51"/>
        <v>0.67825183702134517</v>
      </c>
      <c r="I231">
        <v>446.95095679999997</v>
      </c>
      <c r="J231">
        <f t="shared" si="52"/>
        <v>658.9749299653339</v>
      </c>
      <c r="K231" s="1">
        <v>1.39E-6</v>
      </c>
      <c r="L231" s="1">
        <f t="shared" si="53"/>
        <v>113517.09724246798</v>
      </c>
      <c r="M231" s="1">
        <f t="shared" si="54"/>
        <v>994409771.84401953</v>
      </c>
      <c r="N231">
        <f t="shared" si="55"/>
        <v>88604018851.151749</v>
      </c>
      <c r="O231">
        <v>5.584701946</v>
      </c>
      <c r="P231" s="1">
        <f t="shared" si="56"/>
        <v>1.0058071023999658E+16</v>
      </c>
      <c r="Q231" s="1">
        <f t="shared" si="57"/>
        <v>1801004086028919.5</v>
      </c>
    </row>
    <row r="232" spans="1:17" x14ac:dyDescent="0.2">
      <c r="A232">
        <f t="shared" si="58"/>
        <v>231</v>
      </c>
      <c r="B232">
        <f t="shared" ref="B232:B250" si="64">3000/21</f>
        <v>142.85714285714286</v>
      </c>
      <c r="C232">
        <f t="shared" si="59"/>
        <v>231000</v>
      </c>
      <c r="E232" t="s">
        <v>5</v>
      </c>
      <c r="F232">
        <v>30.496215329999998</v>
      </c>
      <c r="G232">
        <v>43.429000000000002</v>
      </c>
      <c r="H232">
        <f t="shared" si="51"/>
        <v>0.70220855488268197</v>
      </c>
      <c r="I232">
        <v>2706.1525969999998</v>
      </c>
      <c r="J232">
        <f t="shared" si="52"/>
        <v>3853.7733244393712</v>
      </c>
      <c r="K232" s="1">
        <v>1.26E-6</v>
      </c>
      <c r="L232" s="1">
        <f t="shared" si="53"/>
        <v>134231.92151650449</v>
      </c>
      <c r="M232" s="1">
        <f t="shared" si="54"/>
        <v>1175871632.4845793</v>
      </c>
      <c r="N232">
        <f t="shared" si="55"/>
        <v>5.1226116100777442E+63</v>
      </c>
      <c r="O232">
        <v>1.870437956</v>
      </c>
      <c r="P232" s="1">
        <f t="shared" si="56"/>
        <v>6.8761799960349043E+68</v>
      </c>
      <c r="Q232" s="1">
        <f t="shared" si="57"/>
        <v>3.6762406226720649E+68</v>
      </c>
    </row>
    <row r="233" spans="1:17" x14ac:dyDescent="0.2">
      <c r="A233">
        <f t="shared" si="58"/>
        <v>232</v>
      </c>
      <c r="B233">
        <f t="shared" si="64"/>
        <v>142.85714285714286</v>
      </c>
      <c r="C233">
        <f t="shared" si="59"/>
        <v>232000</v>
      </c>
      <c r="E233" t="s">
        <v>5</v>
      </c>
      <c r="F233">
        <v>28.875489259999998</v>
      </c>
      <c r="G233">
        <v>43.429000000000002</v>
      </c>
      <c r="H233">
        <f t="shared" si="51"/>
        <v>0.66488957286605721</v>
      </c>
      <c r="I233">
        <v>421.72668670000002</v>
      </c>
      <c r="J233">
        <f t="shared" si="52"/>
        <v>634.28079475229993</v>
      </c>
      <c r="K233" s="1">
        <v>1.4699999999999999E-6</v>
      </c>
      <c r="L233" s="1">
        <f t="shared" si="53"/>
        <v>103151.56695806854</v>
      </c>
      <c r="M233" s="1">
        <f t="shared" si="54"/>
        <v>903607726.55268037</v>
      </c>
      <c r="N233">
        <f t="shared" si="55"/>
        <v>34644174866.472198</v>
      </c>
      <c r="O233">
        <v>8.9340024329999999</v>
      </c>
      <c r="P233" s="1">
        <f t="shared" si="56"/>
        <v>3573600923445942</v>
      </c>
      <c r="Q233" s="1">
        <f t="shared" si="57"/>
        <v>399999994430933</v>
      </c>
    </row>
    <row r="234" spans="1:17" x14ac:dyDescent="0.2">
      <c r="A234">
        <f t="shared" si="58"/>
        <v>233</v>
      </c>
      <c r="B234">
        <f t="shared" si="64"/>
        <v>142.85714285714286</v>
      </c>
      <c r="C234">
        <f t="shared" si="59"/>
        <v>233000</v>
      </c>
      <c r="E234" t="s">
        <v>5</v>
      </c>
      <c r="F234">
        <v>25.559822279999999</v>
      </c>
      <c r="G234">
        <v>43.429000000000002</v>
      </c>
      <c r="H234">
        <f t="shared" si="51"/>
        <v>0.58854273135462476</v>
      </c>
      <c r="I234">
        <v>502.01586959999997</v>
      </c>
      <c r="J234">
        <f t="shared" si="52"/>
        <v>852.98117342224339</v>
      </c>
      <c r="K234" s="1">
        <v>2.0600000000000002E-6</v>
      </c>
      <c r="L234" s="1">
        <f t="shared" si="53"/>
        <v>57674.375482628238</v>
      </c>
      <c r="M234" s="1">
        <f t="shared" si="54"/>
        <v>505227529.22782338</v>
      </c>
      <c r="N234">
        <f t="shared" si="55"/>
        <v>141730409273979.22</v>
      </c>
      <c r="O234">
        <v>22.289385639999999</v>
      </c>
      <c r="P234" s="1">
        <f t="shared" si="56"/>
        <v>8.1742128417740534E+18</v>
      </c>
      <c r="Q234" s="1">
        <f t="shared" si="57"/>
        <v>3.6673118648478163E+17</v>
      </c>
    </row>
    <row r="235" spans="1:17" x14ac:dyDescent="0.2">
      <c r="A235">
        <f t="shared" si="58"/>
        <v>234</v>
      </c>
      <c r="B235">
        <f t="shared" si="64"/>
        <v>142.85714285714286</v>
      </c>
      <c r="C235">
        <f t="shared" si="59"/>
        <v>234000</v>
      </c>
      <c r="E235" t="s">
        <v>5</v>
      </c>
      <c r="F235">
        <v>25.43591258</v>
      </c>
      <c r="G235">
        <v>43.429000000000002</v>
      </c>
      <c r="H235">
        <f t="shared" si="51"/>
        <v>0.58568957562918789</v>
      </c>
      <c r="I235">
        <v>502.01586959999997</v>
      </c>
      <c r="J235">
        <f t="shared" si="52"/>
        <v>857.13642599955813</v>
      </c>
      <c r="K235" s="1">
        <v>2.0899999999999999E-6</v>
      </c>
      <c r="L235" s="1">
        <f t="shared" si="53"/>
        <v>56296.685022602629</v>
      </c>
      <c r="M235" s="1">
        <f t="shared" si="54"/>
        <v>493158960.79799902</v>
      </c>
      <c r="N235">
        <f t="shared" si="55"/>
        <v>165991925512318.97</v>
      </c>
      <c r="O235">
        <v>21.053832119999999</v>
      </c>
      <c r="P235" s="1">
        <f t="shared" si="56"/>
        <v>9.344795146862338E+18</v>
      </c>
      <c r="Q235" s="1">
        <f t="shared" si="57"/>
        <v>4.4385245847881958E+17</v>
      </c>
    </row>
    <row r="236" spans="1:17" x14ac:dyDescent="0.2">
      <c r="A236">
        <f t="shared" si="58"/>
        <v>235</v>
      </c>
      <c r="B236">
        <f t="shared" si="64"/>
        <v>142.85714285714286</v>
      </c>
      <c r="C236">
        <f t="shared" si="59"/>
        <v>235000</v>
      </c>
      <c r="E236" t="s">
        <v>5</v>
      </c>
      <c r="F236">
        <v>26.36785828</v>
      </c>
      <c r="G236">
        <v>43.429000000000002</v>
      </c>
      <c r="H236">
        <f t="shared" si="51"/>
        <v>0.60714863984894885</v>
      </c>
      <c r="I236">
        <v>532.04238750000002</v>
      </c>
      <c r="J236">
        <f t="shared" si="52"/>
        <v>876.29676257261428</v>
      </c>
      <c r="K236" s="1">
        <v>1.8899999999999999E-6</v>
      </c>
      <c r="L236" s="1">
        <f t="shared" si="53"/>
        <v>66899.422491300007</v>
      </c>
      <c r="M236" s="1">
        <f t="shared" si="54"/>
        <v>586038941.02378809</v>
      </c>
      <c r="N236">
        <f t="shared" si="55"/>
        <v>343969216053833.5</v>
      </c>
      <c r="O236">
        <v>10.747414839999999</v>
      </c>
      <c r="P236" s="1">
        <f t="shared" si="56"/>
        <v>2.3011341908786659E+19</v>
      </c>
      <c r="Q236" s="1">
        <f t="shared" si="57"/>
        <v>2.1411048378948273E+18</v>
      </c>
    </row>
    <row r="237" spans="1:17" x14ac:dyDescent="0.2">
      <c r="A237">
        <f t="shared" si="58"/>
        <v>236</v>
      </c>
      <c r="B237">
        <f t="shared" si="64"/>
        <v>142.85714285714286</v>
      </c>
      <c r="C237">
        <f t="shared" si="59"/>
        <v>236000</v>
      </c>
      <c r="E237" t="s">
        <v>5</v>
      </c>
      <c r="F237">
        <v>27.041745429999999</v>
      </c>
      <c r="G237">
        <v>43.429000000000002</v>
      </c>
      <c r="H237">
        <f t="shared" si="51"/>
        <v>0.62266562504317391</v>
      </c>
      <c r="I237">
        <v>3221.355423</v>
      </c>
      <c r="J237">
        <f t="shared" si="52"/>
        <v>5173.4916678219388</v>
      </c>
      <c r="K237" s="1">
        <v>1.7600000000000001E-6</v>
      </c>
      <c r="L237" s="1">
        <f t="shared" si="53"/>
        <v>75559.875482596253</v>
      </c>
      <c r="M237" s="1">
        <f t="shared" si="54"/>
        <v>661904509.22754323</v>
      </c>
      <c r="N237">
        <f t="shared" si="55"/>
        <v>3.1960688621843092E+85</v>
      </c>
      <c r="O237">
        <v>9.8274026760000002</v>
      </c>
      <c r="P237" s="1">
        <f t="shared" si="56"/>
        <v>2.4149456526044951E+90</v>
      </c>
      <c r="Q237" s="1">
        <f t="shared" si="57"/>
        <v>2.4573590115546569E+89</v>
      </c>
    </row>
    <row r="238" spans="1:17" x14ac:dyDescent="0.2">
      <c r="A238">
        <f t="shared" si="58"/>
        <v>237</v>
      </c>
      <c r="B238">
        <f t="shared" si="64"/>
        <v>142.85714285714286</v>
      </c>
      <c r="C238">
        <f t="shared" si="59"/>
        <v>237000</v>
      </c>
      <c r="E238" t="s">
        <v>5</v>
      </c>
      <c r="F238">
        <v>27.277381819999999</v>
      </c>
      <c r="G238">
        <v>43.429000000000002</v>
      </c>
      <c r="H238">
        <f t="shared" si="51"/>
        <v>0.62809140942688058</v>
      </c>
      <c r="I238">
        <v>633.33369760000005</v>
      </c>
      <c r="J238">
        <f t="shared" si="52"/>
        <v>1008.3463777635535</v>
      </c>
      <c r="K238" s="1">
        <v>1.72E-6</v>
      </c>
      <c r="L238" s="1">
        <f t="shared" si="53"/>
        <v>78670.403940915683</v>
      </c>
      <c r="M238" s="1">
        <f t="shared" si="54"/>
        <v>689152738.52242136</v>
      </c>
      <c r="N238">
        <f t="shared" si="55"/>
        <v>5.215747947551624E+16</v>
      </c>
      <c r="O238">
        <v>9.804592457</v>
      </c>
      <c r="P238" s="1">
        <f t="shared" si="56"/>
        <v>4.1032499788788814E+21</v>
      </c>
      <c r="Q238" s="1">
        <f t="shared" si="57"/>
        <v>4.1850285943801381E+20</v>
      </c>
    </row>
    <row r="239" spans="1:17" x14ac:dyDescent="0.2">
      <c r="A239">
        <f t="shared" si="58"/>
        <v>238</v>
      </c>
      <c r="B239">
        <f t="shared" si="64"/>
        <v>142.85714285714286</v>
      </c>
      <c r="C239">
        <f t="shared" si="59"/>
        <v>238000</v>
      </c>
      <c r="E239" t="s">
        <v>5</v>
      </c>
      <c r="F239">
        <v>25.61201015</v>
      </c>
      <c r="G239">
        <v>43.429000000000002</v>
      </c>
      <c r="H239">
        <f t="shared" si="51"/>
        <v>0.5897444138709157</v>
      </c>
      <c r="I239">
        <v>446.95095679999997</v>
      </c>
      <c r="J239">
        <f t="shared" si="52"/>
        <v>757.87230245444835</v>
      </c>
      <c r="K239" s="1">
        <v>2.0499999999999999E-6</v>
      </c>
      <c r="L239" s="1">
        <f t="shared" si="53"/>
        <v>58192.622671384794</v>
      </c>
      <c r="M239" s="1">
        <f t="shared" si="54"/>
        <v>509767374.60133082</v>
      </c>
      <c r="N239">
        <f t="shared" si="55"/>
        <v>3808392912553.835</v>
      </c>
      <c r="O239">
        <v>18.70437956</v>
      </c>
      <c r="P239" s="1">
        <f t="shared" si="56"/>
        <v>2.2162037174462147E+17</v>
      </c>
      <c r="Q239" s="1">
        <f t="shared" si="57"/>
        <v>1.1848581827251022E+16</v>
      </c>
    </row>
    <row r="240" spans="1:17" x14ac:dyDescent="0.2">
      <c r="A240">
        <f t="shared" si="58"/>
        <v>239</v>
      </c>
      <c r="B240">
        <f t="shared" si="64"/>
        <v>142.85714285714286</v>
      </c>
      <c r="C240">
        <f t="shared" si="59"/>
        <v>239000</v>
      </c>
      <c r="E240" t="s">
        <v>5</v>
      </c>
      <c r="F240">
        <v>26.296382779999998</v>
      </c>
      <c r="G240">
        <v>43.429000000000002</v>
      </c>
      <c r="H240">
        <f t="shared" si="51"/>
        <v>0.60550283865619736</v>
      </c>
      <c r="I240">
        <v>397.92598170000002</v>
      </c>
      <c r="J240">
        <f t="shared" si="52"/>
        <v>657.18268568835094</v>
      </c>
      <c r="K240" s="1">
        <v>1.9E-6</v>
      </c>
      <c r="L240" s="1">
        <f t="shared" si="53"/>
        <v>66187.028870476075</v>
      </c>
      <c r="M240" s="1">
        <f t="shared" si="54"/>
        <v>579798372.90537047</v>
      </c>
      <c r="N240">
        <f t="shared" si="55"/>
        <v>82766490190.811569</v>
      </c>
      <c r="O240">
        <v>9.0708637470000006</v>
      </c>
      <c r="P240" s="1">
        <f t="shared" si="56"/>
        <v>5478068075767220</v>
      </c>
      <c r="Q240" s="1">
        <f t="shared" si="57"/>
        <v>603919122650142</v>
      </c>
    </row>
    <row r="241" spans="1:17" x14ac:dyDescent="0.2">
      <c r="A241">
        <f t="shared" si="58"/>
        <v>240</v>
      </c>
      <c r="B241">
        <f t="shared" si="64"/>
        <v>142.85714285714286</v>
      </c>
      <c r="C241">
        <f t="shared" si="59"/>
        <v>240000</v>
      </c>
      <c r="E241" t="s">
        <v>5</v>
      </c>
      <c r="F241">
        <v>26.87264077</v>
      </c>
      <c r="G241">
        <v>43.429000000000002</v>
      </c>
      <c r="H241">
        <f t="shared" si="51"/>
        <v>0.6187718061663865</v>
      </c>
      <c r="I241">
        <v>1008.005486</v>
      </c>
      <c r="J241">
        <f t="shared" si="52"/>
        <v>1629.0423641715656</v>
      </c>
      <c r="K241" s="1">
        <v>1.79E-6</v>
      </c>
      <c r="L241" s="1">
        <f t="shared" si="53"/>
        <v>73367.230167876754</v>
      </c>
      <c r="M241" s="1">
        <f t="shared" si="54"/>
        <v>642696936.27060032</v>
      </c>
      <c r="N241">
        <f t="shared" si="55"/>
        <v>9.2917955368550081E+26</v>
      </c>
      <c r="O241">
        <v>9.6335158150000009</v>
      </c>
      <c r="P241" s="1">
        <f t="shared" si="56"/>
        <v>6.8171330182529134E+31</v>
      </c>
      <c r="Q241" s="1">
        <f t="shared" si="57"/>
        <v>7.07647462169336E+30</v>
      </c>
    </row>
    <row r="242" spans="1:17" x14ac:dyDescent="0.2">
      <c r="A242">
        <f t="shared" si="58"/>
        <v>241</v>
      </c>
      <c r="B242">
        <f t="shared" si="64"/>
        <v>142.85714285714286</v>
      </c>
      <c r="C242">
        <f t="shared" si="59"/>
        <v>241000</v>
      </c>
      <c r="E242" t="s">
        <v>5</v>
      </c>
      <c r="F242">
        <v>27.339038890000001</v>
      </c>
      <c r="G242">
        <v>43.429000000000002</v>
      </c>
      <c r="H242">
        <f t="shared" si="51"/>
        <v>0.62951113058094821</v>
      </c>
      <c r="I242">
        <v>446.95095679999997</v>
      </c>
      <c r="J242">
        <f t="shared" si="52"/>
        <v>709.99690885136306</v>
      </c>
      <c r="K242" s="1">
        <v>1.7099999999999999E-6</v>
      </c>
      <c r="L242" s="1">
        <f t="shared" si="53"/>
        <v>79488.597888408854</v>
      </c>
      <c r="M242" s="1">
        <f t="shared" si="54"/>
        <v>696320117.50246155</v>
      </c>
      <c r="N242">
        <f t="shared" si="55"/>
        <v>616709280908.75623</v>
      </c>
      <c r="O242">
        <v>9.1887165450000001</v>
      </c>
      <c r="P242" s="1">
        <f t="shared" si="56"/>
        <v>4.9021356044205904E+16</v>
      </c>
      <c r="Q242" s="1">
        <f t="shared" si="57"/>
        <v>5334951383485723</v>
      </c>
    </row>
    <row r="243" spans="1:17" x14ac:dyDescent="0.2">
      <c r="A243">
        <f t="shared" si="58"/>
        <v>242</v>
      </c>
      <c r="B243">
        <f t="shared" si="64"/>
        <v>142.85714285714286</v>
      </c>
      <c r="C243">
        <f t="shared" si="59"/>
        <v>242000</v>
      </c>
      <c r="E243" t="s">
        <v>5</v>
      </c>
      <c r="F243">
        <v>27.536503159999999</v>
      </c>
      <c r="G243">
        <v>43.429000000000002</v>
      </c>
      <c r="H243">
        <f t="shared" si="51"/>
        <v>0.63405796034907547</v>
      </c>
      <c r="I243">
        <v>2553.4272850000002</v>
      </c>
      <c r="J243">
        <f t="shared" si="52"/>
        <v>4027.1196715111528</v>
      </c>
      <c r="K243" s="1">
        <v>1.68E-6</v>
      </c>
      <c r="L243" s="1">
        <f t="shared" si="53"/>
        <v>82081.022320914417</v>
      </c>
      <c r="M243" s="1">
        <f t="shared" si="54"/>
        <v>719029755.5312103</v>
      </c>
      <c r="N243">
        <f t="shared" si="55"/>
        <v>3.7351085924288043E+66</v>
      </c>
      <c r="O243">
        <v>8.3675486620000008</v>
      </c>
      <c r="P243" s="1">
        <f t="shared" si="56"/>
        <v>3.0658153174618789E+71</v>
      </c>
      <c r="Q243" s="1">
        <f t="shared" si="57"/>
        <v>3.6639348527303235E+70</v>
      </c>
    </row>
    <row r="244" spans="1:17" x14ac:dyDescent="0.2">
      <c r="A244">
        <f t="shared" si="58"/>
        <v>243</v>
      </c>
      <c r="B244">
        <f t="shared" si="64"/>
        <v>142.85714285714286</v>
      </c>
      <c r="C244">
        <f t="shared" si="59"/>
        <v>243000</v>
      </c>
      <c r="E244" t="s">
        <v>5</v>
      </c>
      <c r="F244">
        <v>26.764488920000002</v>
      </c>
      <c r="G244">
        <v>43.429000000000002</v>
      </c>
      <c r="H244">
        <f t="shared" si="51"/>
        <v>0.61628149209053862</v>
      </c>
      <c r="I244">
        <v>3039.5539570000001</v>
      </c>
      <c r="J244">
        <f t="shared" si="52"/>
        <v>4932.0870349185425</v>
      </c>
      <c r="K244" s="1">
        <v>1.81E-6</v>
      </c>
      <c r="L244" s="1">
        <f t="shared" si="53"/>
        <v>71973.694464207641</v>
      </c>
      <c r="M244" s="1">
        <f t="shared" si="54"/>
        <v>630489563.506459</v>
      </c>
      <c r="N244">
        <f t="shared" si="55"/>
        <v>3.2947537321332217E+81</v>
      </c>
      <c r="O244">
        <v>7.7554744529999997</v>
      </c>
      <c r="P244" s="1">
        <f t="shared" si="56"/>
        <v>2.3713559845136432E+86</v>
      </c>
      <c r="Q244" s="1">
        <f t="shared" si="57"/>
        <v>3.0576543045620466E+85</v>
      </c>
    </row>
    <row r="245" spans="1:17" x14ac:dyDescent="0.2">
      <c r="A245">
        <f t="shared" si="58"/>
        <v>244</v>
      </c>
      <c r="B245">
        <f t="shared" si="64"/>
        <v>142.85714285714286</v>
      </c>
      <c r="C245">
        <f t="shared" si="59"/>
        <v>244000</v>
      </c>
      <c r="E245" t="s">
        <v>5</v>
      </c>
      <c r="F245">
        <v>26.852072150000001</v>
      </c>
      <c r="G245">
        <v>43.429000000000002</v>
      </c>
      <c r="H245">
        <f t="shared" si="51"/>
        <v>0.6182981913007437</v>
      </c>
      <c r="I245">
        <v>473.68393809999998</v>
      </c>
      <c r="J245">
        <f t="shared" si="52"/>
        <v>766.10920873549424</v>
      </c>
      <c r="K245" s="1">
        <v>1.7999999999999999E-6</v>
      </c>
      <c r="L245" s="1">
        <f t="shared" si="53"/>
        <v>72847.988946921934</v>
      </c>
      <c r="M245" s="1">
        <f t="shared" si="54"/>
        <v>638148383.17503619</v>
      </c>
      <c r="N245">
        <f t="shared" si="55"/>
        <v>5209236888637.6621</v>
      </c>
      <c r="O245">
        <v>8.1014294400000004</v>
      </c>
      <c r="P245" s="1">
        <f t="shared" si="56"/>
        <v>3.794824312853744E+17</v>
      </c>
      <c r="Q245" s="1">
        <f t="shared" si="57"/>
        <v>4.6841416579118456E+16</v>
      </c>
    </row>
    <row r="246" spans="1:17" x14ac:dyDescent="0.2">
      <c r="A246">
        <f t="shared" si="58"/>
        <v>245</v>
      </c>
      <c r="B246">
        <f t="shared" si="64"/>
        <v>142.85714285714286</v>
      </c>
      <c r="C246">
        <f t="shared" si="59"/>
        <v>245000</v>
      </c>
      <c r="E246" t="s">
        <v>5</v>
      </c>
      <c r="F246">
        <v>27.087371860000001</v>
      </c>
      <c r="G246">
        <v>43.429000000000002</v>
      </c>
      <c r="H246">
        <f t="shared" si="51"/>
        <v>0.62371622326095466</v>
      </c>
      <c r="I246">
        <v>2145.048581</v>
      </c>
      <c r="J246">
        <f t="shared" si="52"/>
        <v>3439.1418741444854</v>
      </c>
      <c r="K246" s="1">
        <v>1.75E-6</v>
      </c>
      <c r="L246" s="1">
        <f t="shared" si="53"/>
        <v>76248.297723146185</v>
      </c>
      <c r="M246" s="1">
        <f t="shared" si="54"/>
        <v>667935088.05476058</v>
      </c>
      <c r="N246">
        <f t="shared" si="55"/>
        <v>7.2754605017137101E+56</v>
      </c>
      <c r="O246">
        <v>8.5728406330000002</v>
      </c>
      <c r="P246" s="1">
        <f t="shared" si="56"/>
        <v>5.547414784076575E+61</v>
      </c>
      <c r="Q246" s="1">
        <f t="shared" si="57"/>
        <v>6.4709178923991024E+60</v>
      </c>
    </row>
    <row r="247" spans="1:17" x14ac:dyDescent="0.2">
      <c r="A247">
        <f t="shared" si="58"/>
        <v>246</v>
      </c>
      <c r="B247">
        <f t="shared" si="64"/>
        <v>142.85714285714286</v>
      </c>
      <c r="C247">
        <f t="shared" si="59"/>
        <v>246000</v>
      </c>
      <c r="E247" t="s">
        <v>5</v>
      </c>
      <c r="F247">
        <v>28.037292669999999</v>
      </c>
      <c r="G247">
        <v>43.429000000000002</v>
      </c>
      <c r="H247">
        <f t="shared" si="51"/>
        <v>0.64558918395542142</v>
      </c>
      <c r="I247">
        <v>3039.5539570000001</v>
      </c>
      <c r="J247">
        <f t="shared" si="52"/>
        <v>4708.1859989926415</v>
      </c>
      <c r="K247" s="1">
        <v>1.59E-6</v>
      </c>
      <c r="L247" s="1">
        <f t="shared" si="53"/>
        <v>89910.308360376017</v>
      </c>
      <c r="M247" s="1">
        <f t="shared" si="54"/>
        <v>787614301.23689389</v>
      </c>
      <c r="N247">
        <f t="shared" si="55"/>
        <v>6.6084769323884989E+77</v>
      </c>
      <c r="O247">
        <v>7.5311739659999999</v>
      </c>
      <c r="P247" s="1">
        <f t="shared" si="56"/>
        <v>5.9417019878348173E+82</v>
      </c>
      <c r="Q247" s="1">
        <f t="shared" si="57"/>
        <v>7.8894764809032922E+81</v>
      </c>
    </row>
    <row r="248" spans="1:17" x14ac:dyDescent="0.2">
      <c r="A248">
        <f t="shared" si="58"/>
        <v>247</v>
      </c>
      <c r="B248">
        <f t="shared" si="64"/>
        <v>142.85714285714286</v>
      </c>
      <c r="C248">
        <f t="shared" si="59"/>
        <v>247000</v>
      </c>
      <c r="E248" t="s">
        <v>5</v>
      </c>
      <c r="F248">
        <v>27.533727330000001</v>
      </c>
      <c r="G248">
        <v>43.429000000000002</v>
      </c>
      <c r="H248">
        <f t="shared" si="51"/>
        <v>0.63399404384167257</v>
      </c>
      <c r="I248">
        <v>711.36119550000001</v>
      </c>
      <c r="J248">
        <f t="shared" si="52"/>
        <v>1122.0313540952577</v>
      </c>
      <c r="K248" s="1">
        <v>1.68E-6</v>
      </c>
      <c r="L248" s="1">
        <f t="shared" si="53"/>
        <v>82064.474723787993</v>
      </c>
      <c r="M248" s="1">
        <f t="shared" si="54"/>
        <v>718884798.58038282</v>
      </c>
      <c r="N248">
        <f t="shared" si="55"/>
        <v>3.933887488629888E+18</v>
      </c>
      <c r="O248">
        <v>7.3182785890000002</v>
      </c>
      <c r="P248" s="1">
        <f t="shared" si="56"/>
        <v>3.2283241037689324E+23</v>
      </c>
      <c r="Q248" s="1">
        <f t="shared" si="57"/>
        <v>4.411316219392604E+22</v>
      </c>
    </row>
    <row r="249" spans="1:17" x14ac:dyDescent="0.2">
      <c r="A249">
        <f t="shared" si="58"/>
        <v>248</v>
      </c>
      <c r="B249">
        <f t="shared" si="64"/>
        <v>142.85714285714286</v>
      </c>
      <c r="C249">
        <f t="shared" si="59"/>
        <v>248000</v>
      </c>
      <c r="E249" t="s">
        <v>5</v>
      </c>
      <c r="F249">
        <v>28.277637689999999</v>
      </c>
      <c r="G249">
        <v>43.429000000000002</v>
      </c>
      <c r="H249">
        <f t="shared" si="51"/>
        <v>0.65112338967049666</v>
      </c>
      <c r="I249">
        <v>3618.230411</v>
      </c>
      <c r="J249">
        <f t="shared" si="52"/>
        <v>5556.9043723510204</v>
      </c>
      <c r="K249" s="1">
        <v>1.5600000000000001E-6</v>
      </c>
      <c r="L249" s="1">
        <f t="shared" si="53"/>
        <v>93217.213026645579</v>
      </c>
      <c r="M249" s="1">
        <f t="shared" si="54"/>
        <v>816582786.11341524</v>
      </c>
      <c r="N249">
        <f t="shared" si="55"/>
        <v>6.8654663918873505E+91</v>
      </c>
      <c r="O249">
        <v>7.086374696</v>
      </c>
      <c r="P249" s="1">
        <f t="shared" si="56"/>
        <v>6.3997964317983892E+96</v>
      </c>
      <c r="Q249" s="1">
        <f t="shared" si="57"/>
        <v>9.0311290417804755E+95</v>
      </c>
    </row>
    <row r="250" spans="1:17" x14ac:dyDescent="0.2">
      <c r="A250">
        <f t="shared" si="58"/>
        <v>249</v>
      </c>
      <c r="B250">
        <f t="shared" si="64"/>
        <v>142.85714285714286</v>
      </c>
      <c r="C250">
        <f t="shared" si="59"/>
        <v>249000</v>
      </c>
      <c r="E250" t="s">
        <v>5</v>
      </c>
      <c r="F250">
        <v>27.13569111</v>
      </c>
      <c r="G250">
        <v>43.429000000000002</v>
      </c>
      <c r="H250">
        <f t="shared" si="51"/>
        <v>0.62482882659052708</v>
      </c>
      <c r="I250">
        <v>3221.355423</v>
      </c>
      <c r="J250">
        <f t="shared" si="52"/>
        <v>5155.5806741148817</v>
      </c>
      <c r="K250" s="1">
        <v>1.7400000000000001E-6</v>
      </c>
      <c r="L250" s="1">
        <f t="shared" si="53"/>
        <v>76960.341638335507</v>
      </c>
      <c r="M250" s="1">
        <f t="shared" si="54"/>
        <v>674172592.75181901</v>
      </c>
      <c r="N250">
        <f t="shared" si="55"/>
        <v>1.6173960910470434E+85</v>
      </c>
      <c r="O250">
        <v>7.9341545010000001</v>
      </c>
      <c r="P250" s="1">
        <f t="shared" si="56"/>
        <v>1.2447535573148886E+90</v>
      </c>
      <c r="Q250" s="1">
        <f t="shared" si="57"/>
        <v>1.5688546992096046E+89</v>
      </c>
    </row>
    <row r="251" spans="1:17" x14ac:dyDescent="0.2">
      <c r="A251">
        <f t="shared" si="58"/>
        <v>250</v>
      </c>
      <c r="B251">
        <f>3000/21</f>
        <v>142.85714285714286</v>
      </c>
      <c r="C251">
        <f t="shared" si="59"/>
        <v>250000</v>
      </c>
      <c r="E251" t="s">
        <v>5</v>
      </c>
      <c r="F251">
        <v>27.9057031</v>
      </c>
      <c r="G251">
        <v>43.429000000000002</v>
      </c>
      <c r="H251">
        <f t="shared" si="51"/>
        <v>0.64255919086324809</v>
      </c>
      <c r="I251">
        <v>421.72668670000002</v>
      </c>
      <c r="J251">
        <f t="shared" si="52"/>
        <v>656.32348380766291</v>
      </c>
      <c r="K251" s="1">
        <v>1.61E-6</v>
      </c>
      <c r="L251" s="1">
        <f t="shared" si="53"/>
        <v>87961.88423642944</v>
      </c>
      <c r="M251" s="1">
        <f t="shared" si="54"/>
        <v>770546105.91112185</v>
      </c>
      <c r="N251">
        <f t="shared" si="55"/>
        <v>80105961069.318619</v>
      </c>
      <c r="O251">
        <v>5.9268552310000002</v>
      </c>
      <c r="P251" s="1">
        <f t="shared" si="56"/>
        <v>7046271274227328</v>
      </c>
      <c r="Q251" s="1">
        <f t="shared" si="57"/>
        <v>1188871838369242</v>
      </c>
    </row>
    <row r="252" spans="1:17" x14ac:dyDescent="0.2">
      <c r="A252">
        <f t="shared" si="58"/>
        <v>251</v>
      </c>
      <c r="B252">
        <f t="shared" ref="B252:B260" si="65">3000/21</f>
        <v>142.85714285714286</v>
      </c>
      <c r="C252">
        <f t="shared" si="59"/>
        <v>251000</v>
      </c>
      <c r="E252" t="s">
        <v>6</v>
      </c>
      <c r="F252">
        <v>37.56454334</v>
      </c>
      <c r="G252">
        <v>43.429000000000002</v>
      </c>
      <c r="H252">
        <f t="shared" si="51"/>
        <v>0.86496450160031313</v>
      </c>
      <c r="I252">
        <v>264.97248830000001</v>
      </c>
      <c r="J252">
        <f t="shared" si="52"/>
        <v>306.33914780289996</v>
      </c>
      <c r="K252" s="1">
        <v>1.4699999999999999E-6</v>
      </c>
      <c r="L252" s="1">
        <f t="shared" si="53"/>
        <v>174571.50410669154</v>
      </c>
      <c r="M252" s="1">
        <f t="shared" si="54"/>
        <v>1529246375.974618</v>
      </c>
      <c r="N252">
        <f t="shared" si="55"/>
        <v>132947.39206619607</v>
      </c>
      <c r="O252">
        <v>22.635340630000002</v>
      </c>
      <c r="P252" s="1">
        <f t="shared" si="56"/>
        <v>23208826200.057877</v>
      </c>
      <c r="Q252" s="1">
        <f t="shared" si="57"/>
        <v>1025335848.9024812</v>
      </c>
    </row>
    <row r="253" spans="1:17" x14ac:dyDescent="0.2">
      <c r="A253">
        <f t="shared" si="58"/>
        <v>252</v>
      </c>
      <c r="B253">
        <f t="shared" si="65"/>
        <v>142.85714285714286</v>
      </c>
      <c r="C253">
        <f t="shared" si="59"/>
        <v>252000</v>
      </c>
      <c r="E253" t="s">
        <v>7</v>
      </c>
      <c r="F253">
        <v>17.74860163</v>
      </c>
      <c r="G253">
        <v>43.429000000000002</v>
      </c>
      <c r="H253">
        <f t="shared" si="51"/>
        <v>0.40868087291901722</v>
      </c>
      <c r="I253">
        <v>502.01586959999997</v>
      </c>
      <c r="J253">
        <f t="shared" si="52"/>
        <v>1228.3811229391147</v>
      </c>
      <c r="K253" s="1">
        <v>2.6299999999999998E-6</v>
      </c>
      <c r="L253" s="1">
        <f t="shared" si="53"/>
        <v>21782.463562820732</v>
      </c>
      <c r="M253" s="1">
        <f t="shared" si="54"/>
        <v>190814380.81030962</v>
      </c>
      <c r="N253">
        <f t="shared" si="55"/>
        <v>2.2448454872170565E+20</v>
      </c>
      <c r="O253">
        <v>8.5196167880000004</v>
      </c>
      <c r="P253" s="1">
        <f t="shared" si="56"/>
        <v>4.8898265029468091E+24</v>
      </c>
      <c r="Q253" s="1">
        <f t="shared" si="57"/>
        <v>5.7394911351343855E+23</v>
      </c>
    </row>
    <row r="254" spans="1:17" x14ac:dyDescent="0.2">
      <c r="A254">
        <f t="shared" si="58"/>
        <v>253</v>
      </c>
      <c r="B254">
        <f t="shared" si="65"/>
        <v>142.85714285714286</v>
      </c>
      <c r="C254">
        <f t="shared" si="59"/>
        <v>253000</v>
      </c>
      <c r="E254" t="s">
        <v>7</v>
      </c>
      <c r="F254">
        <v>17.466158790000001</v>
      </c>
      <c r="G254">
        <v>43.429000000000002</v>
      </c>
      <c r="H254">
        <f t="shared" si="51"/>
        <v>0.40217731907250914</v>
      </c>
      <c r="I254">
        <v>473.68393809999998</v>
      </c>
      <c r="J254">
        <f t="shared" si="52"/>
        <v>1177.7987361206683</v>
      </c>
      <c r="K254" s="1">
        <v>2.7599999999999998E-6</v>
      </c>
      <c r="L254" s="1">
        <f t="shared" si="53"/>
        <v>20101.116818800125</v>
      </c>
      <c r="M254" s="1">
        <f t="shared" si="54"/>
        <v>176085783.33268911</v>
      </c>
      <c r="N254">
        <f t="shared" si="55"/>
        <v>3.2795876745383924E+19</v>
      </c>
      <c r="O254">
        <v>9.2609489049999993</v>
      </c>
      <c r="P254" s="1">
        <f t="shared" si="56"/>
        <v>6.5923374963393273E+23</v>
      </c>
      <c r="Q254" s="1">
        <f t="shared" si="57"/>
        <v>7.118425513372733E+22</v>
      </c>
    </row>
    <row r="255" spans="1:17" x14ac:dyDescent="0.2">
      <c r="A255">
        <f t="shared" si="58"/>
        <v>254</v>
      </c>
      <c r="B255">
        <f t="shared" si="65"/>
        <v>142.85714285714286</v>
      </c>
      <c r="C255">
        <f t="shared" si="59"/>
        <v>254000</v>
      </c>
      <c r="E255" t="s">
        <v>7</v>
      </c>
      <c r="F255">
        <v>18.190352959999998</v>
      </c>
      <c r="G255">
        <v>43.429000000000002</v>
      </c>
      <c r="H255">
        <f t="shared" si="51"/>
        <v>0.41885267816436017</v>
      </c>
      <c r="I255">
        <v>446.95095679999997</v>
      </c>
      <c r="J255">
        <f t="shared" si="52"/>
        <v>1067.0839178080028</v>
      </c>
      <c r="K255" s="1">
        <v>2.4499999999999998E-6</v>
      </c>
      <c r="L255" s="1">
        <f t="shared" si="53"/>
        <v>24561.259240763993</v>
      </c>
      <c r="M255" s="1">
        <f t="shared" si="54"/>
        <v>215156630.94909257</v>
      </c>
      <c r="N255">
        <f t="shared" si="55"/>
        <v>4.8681731077727738E+17</v>
      </c>
      <c r="O255">
        <v>11.918339420000001</v>
      </c>
      <c r="P255" s="1">
        <f t="shared" si="56"/>
        <v>1.195684617289228E+22</v>
      </c>
      <c r="Q255" s="1">
        <f t="shared" si="57"/>
        <v>1.0032308823851469E+21</v>
      </c>
    </row>
    <row r="256" spans="1:17" x14ac:dyDescent="0.2">
      <c r="A256">
        <f t="shared" si="58"/>
        <v>255</v>
      </c>
      <c r="B256">
        <f t="shared" si="65"/>
        <v>142.85714285714286</v>
      </c>
      <c r="C256">
        <f t="shared" si="59"/>
        <v>255000</v>
      </c>
      <c r="E256" t="s">
        <v>7</v>
      </c>
      <c r="F256">
        <v>18.120288939999998</v>
      </c>
      <c r="G256">
        <v>43.429000000000002</v>
      </c>
      <c r="H256">
        <f t="shared" si="51"/>
        <v>0.41723937783508708</v>
      </c>
      <c r="I256">
        <v>597.59067030000006</v>
      </c>
      <c r="J256">
        <f t="shared" si="52"/>
        <v>1432.248972761618</v>
      </c>
      <c r="K256" s="1">
        <v>2.48E-6</v>
      </c>
      <c r="L256" s="1">
        <f t="shared" si="53"/>
        <v>24077.59014385493</v>
      </c>
      <c r="M256" s="1">
        <f t="shared" si="54"/>
        <v>210919689.66016918</v>
      </c>
      <c r="N256">
        <f t="shared" si="55"/>
        <v>5.2246875786709357E+23</v>
      </c>
      <c r="O256">
        <v>12.085614359999999</v>
      </c>
      <c r="P256" s="1">
        <f t="shared" si="56"/>
        <v>1.257978861489286E+28</v>
      </c>
      <c r="Q256" s="1">
        <f t="shared" si="57"/>
        <v>1.0408894608228142E+27</v>
      </c>
    </row>
    <row r="257" spans="1:17" x14ac:dyDescent="0.2">
      <c r="A257">
        <f t="shared" si="58"/>
        <v>256</v>
      </c>
      <c r="B257">
        <f t="shared" si="65"/>
        <v>142.85714285714286</v>
      </c>
      <c r="C257">
        <f t="shared" si="59"/>
        <v>256000</v>
      </c>
      <c r="E257" t="s">
        <v>7</v>
      </c>
      <c r="F257">
        <v>18.481234959999998</v>
      </c>
      <c r="G257">
        <v>43.429000000000002</v>
      </c>
      <c r="H257">
        <f t="shared" si="51"/>
        <v>0.42555055285638621</v>
      </c>
      <c r="I257">
        <v>1199.911617</v>
      </c>
      <c r="J257">
        <f t="shared" si="52"/>
        <v>2819.6688006769982</v>
      </c>
      <c r="K257" s="1">
        <v>2.34E-6</v>
      </c>
      <c r="L257" s="1">
        <f t="shared" si="53"/>
        <v>26544.86865447733</v>
      </c>
      <c r="M257" s="1">
        <f t="shared" si="54"/>
        <v>232533049.41322142</v>
      </c>
      <c r="N257">
        <f t="shared" si="55"/>
        <v>4.2783255048032722E+46</v>
      </c>
      <c r="O257">
        <v>7.147201946</v>
      </c>
      <c r="P257" s="1">
        <f t="shared" si="56"/>
        <v>1.1356758858610328E+51</v>
      </c>
      <c r="Q257" s="1">
        <f t="shared" si="57"/>
        <v>1.5889797076415683E+50</v>
      </c>
    </row>
    <row r="258" spans="1:17" x14ac:dyDescent="0.2">
      <c r="A258">
        <f t="shared" si="58"/>
        <v>257</v>
      </c>
      <c r="B258">
        <f t="shared" si="65"/>
        <v>142.85714285714286</v>
      </c>
      <c r="C258">
        <f t="shared" si="59"/>
        <v>257000</v>
      </c>
      <c r="E258" t="s">
        <v>7</v>
      </c>
      <c r="F258">
        <v>18.60722706</v>
      </c>
      <c r="G258">
        <v>43.429000000000002</v>
      </c>
      <c r="H258">
        <f t="shared" si="51"/>
        <v>0.42845165810863706</v>
      </c>
      <c r="I258">
        <v>250.01841450000001</v>
      </c>
      <c r="J258">
        <f t="shared" si="52"/>
        <v>583.53937899011703</v>
      </c>
      <c r="K258" s="1">
        <v>2.2900000000000001E-6</v>
      </c>
      <c r="L258" s="1">
        <f t="shared" si="53"/>
        <v>27495.542534612166</v>
      </c>
      <c r="M258" s="1">
        <f t="shared" si="54"/>
        <v>240860952.60320258</v>
      </c>
      <c r="N258">
        <f t="shared" si="55"/>
        <v>5030795382.0175772</v>
      </c>
      <c r="O258">
        <v>16.02417883</v>
      </c>
      <c r="P258" s="1">
        <f t="shared" si="56"/>
        <v>138324448409194.75</v>
      </c>
      <c r="Q258" s="1">
        <f t="shared" si="57"/>
        <v>8632233194391.6992</v>
      </c>
    </row>
    <row r="259" spans="1:17" x14ac:dyDescent="0.2">
      <c r="A259">
        <f t="shared" si="58"/>
        <v>258</v>
      </c>
      <c r="B259">
        <f t="shared" si="65"/>
        <v>142.85714285714286</v>
      </c>
      <c r="C259">
        <f t="shared" si="59"/>
        <v>258000</v>
      </c>
      <c r="E259" t="s">
        <v>8</v>
      </c>
      <c r="F259">
        <v>28.737266349999999</v>
      </c>
      <c r="G259">
        <v>43.429000000000002</v>
      </c>
      <c r="H259">
        <f t="shared" ref="H259:H322" si="66">F259/43.429</f>
        <v>0.66170683989960621</v>
      </c>
      <c r="I259">
        <v>1801.9833349999999</v>
      </c>
      <c r="J259">
        <f t="shared" ref="J259:J322" si="67">I259/H259</f>
        <v>2723.2351644927771</v>
      </c>
      <c r="K259" s="1">
        <v>1.0100000000000001E-6</v>
      </c>
      <c r="L259" s="1">
        <f t="shared" ref="L259:L322" si="68">((H259^2)*0.343)/(K259)</f>
        <v>148697.61197592437</v>
      </c>
      <c r="M259" s="1">
        <f t="shared" ref="M259:M322" si="69">L259*8760</f>
        <v>1302591080.9090974</v>
      </c>
      <c r="N259">
        <f t="shared" ref="N259:N322" si="70">EXP((J259+3.9052)/(26.297))</f>
        <v>1.0931356472640419E+45</v>
      </c>
      <c r="O259">
        <v>7.4323296839999999</v>
      </c>
      <c r="P259" s="1">
        <f t="shared" ref="P259:P322" si="71">L259*N259</f>
        <v>1.6254666031391945E+50</v>
      </c>
      <c r="Q259" s="1">
        <f t="shared" ref="Q259:Q322" si="72">P259/O259</f>
        <v>2.1870216637973275E+49</v>
      </c>
    </row>
    <row r="260" spans="1:17" x14ac:dyDescent="0.2">
      <c r="A260">
        <f t="shared" ref="A260:A323" si="73">A259+1</f>
        <v>259</v>
      </c>
      <c r="B260">
        <f t="shared" si="65"/>
        <v>142.85714285714286</v>
      </c>
      <c r="C260">
        <f t="shared" ref="C260:C323" si="74">C259+1000</f>
        <v>259000</v>
      </c>
      <c r="E260" t="s">
        <v>8</v>
      </c>
      <c r="F260">
        <v>26.59035664</v>
      </c>
      <c r="G260">
        <v>43.429000000000002</v>
      </c>
      <c r="H260">
        <f t="shared" si="66"/>
        <v>0.61227190679039345</v>
      </c>
      <c r="I260">
        <v>1604.3281179999999</v>
      </c>
      <c r="J260">
        <f t="shared" si="67"/>
        <v>2620.2870002807908</v>
      </c>
      <c r="K260" s="1">
        <v>1.26E-6</v>
      </c>
      <c r="L260" s="1">
        <f t="shared" si="68"/>
        <v>102049.81946884705</v>
      </c>
      <c r="M260" s="1">
        <f t="shared" si="69"/>
        <v>893956418.54710019</v>
      </c>
      <c r="N260">
        <f t="shared" si="70"/>
        <v>2.1801530211582058E+43</v>
      </c>
      <c r="O260">
        <v>10.62956204</v>
      </c>
      <c r="P260" s="1">
        <f t="shared" si="71"/>
        <v>2.224842222236564E+48</v>
      </c>
      <c r="Q260" s="1">
        <f t="shared" si="72"/>
        <v>2.0930704518815377E+47</v>
      </c>
    </row>
    <row r="261" spans="1:17" x14ac:dyDescent="0.2">
      <c r="A261">
        <f t="shared" si="73"/>
        <v>260</v>
      </c>
      <c r="B261">
        <f>3000/21</f>
        <v>142.85714285714286</v>
      </c>
      <c r="C261">
        <f t="shared" si="74"/>
        <v>260000</v>
      </c>
      <c r="E261" t="s">
        <v>8</v>
      </c>
      <c r="F261">
        <v>26.47971093</v>
      </c>
      <c r="G261">
        <v>43.429000000000002</v>
      </c>
      <c r="H261">
        <f t="shared" si="66"/>
        <v>0.60972416887333347</v>
      </c>
      <c r="I261">
        <v>397.92598170000002</v>
      </c>
      <c r="J261">
        <f t="shared" si="67"/>
        <v>652.63278382961187</v>
      </c>
      <c r="K261" s="1">
        <v>1.28E-6</v>
      </c>
      <c r="L261" s="1">
        <f t="shared" si="68"/>
        <v>99621.017033702432</v>
      </c>
      <c r="M261" s="1">
        <f t="shared" si="69"/>
        <v>872680109.21523333</v>
      </c>
      <c r="N261">
        <f t="shared" si="70"/>
        <v>69616629253.653503</v>
      </c>
      <c r="O261">
        <v>11.891727489999999</v>
      </c>
      <c r="P261" s="1">
        <f t="shared" si="71"/>
        <v>6935279408707163</v>
      </c>
      <c r="Q261" s="1">
        <f t="shared" si="72"/>
        <v>583202012873166.12</v>
      </c>
    </row>
    <row r="262" spans="1:17" x14ac:dyDescent="0.2">
      <c r="A262">
        <f t="shared" si="73"/>
        <v>261</v>
      </c>
      <c r="B262">
        <f t="shared" ref="B262:B300" si="75">3000/21</f>
        <v>142.85714285714286</v>
      </c>
      <c r="C262">
        <f t="shared" si="74"/>
        <v>261000</v>
      </c>
      <c r="E262" t="s">
        <v>8</v>
      </c>
      <c r="F262">
        <v>22.36232167</v>
      </c>
      <c r="G262">
        <v>43.429000000000002</v>
      </c>
      <c r="H262">
        <f t="shared" si="66"/>
        <v>0.51491679914342947</v>
      </c>
      <c r="I262">
        <v>502.01586959999997</v>
      </c>
      <c r="J262">
        <f t="shared" si="67"/>
        <v>974.94560370745262</v>
      </c>
      <c r="K262" s="1">
        <v>2.04E-6</v>
      </c>
      <c r="L262" s="1">
        <f t="shared" si="68"/>
        <v>44579.79575674481</v>
      </c>
      <c r="M262" s="1">
        <f t="shared" si="69"/>
        <v>390519010.82908452</v>
      </c>
      <c r="N262">
        <f t="shared" si="70"/>
        <v>1.4645473360241904E+16</v>
      </c>
      <c r="O262">
        <v>20.586222630000002</v>
      </c>
      <c r="P262" s="1">
        <f t="shared" si="71"/>
        <v>6.528922111604312E+20</v>
      </c>
      <c r="Q262" s="1">
        <f t="shared" si="72"/>
        <v>3.171500779404673E+19</v>
      </c>
    </row>
    <row r="263" spans="1:17" x14ac:dyDescent="0.2">
      <c r="A263">
        <f t="shared" si="73"/>
        <v>262</v>
      </c>
      <c r="B263">
        <f t="shared" si="75"/>
        <v>142.85714285714286</v>
      </c>
      <c r="C263">
        <f t="shared" si="74"/>
        <v>262000</v>
      </c>
      <c r="E263" t="s">
        <v>8</v>
      </c>
      <c r="F263">
        <v>21.64913198</v>
      </c>
      <c r="G263">
        <v>43.429000000000002</v>
      </c>
      <c r="H263">
        <f t="shared" si="66"/>
        <v>0.49849483018259688</v>
      </c>
      <c r="I263">
        <v>532.04238750000002</v>
      </c>
      <c r="J263">
        <f t="shared" si="67"/>
        <v>1067.2977035792223</v>
      </c>
      <c r="K263" s="1">
        <v>2.2400000000000002E-6</v>
      </c>
      <c r="L263" s="1">
        <f t="shared" si="68"/>
        <v>38051.117781937588</v>
      </c>
      <c r="M263" s="1">
        <f t="shared" si="69"/>
        <v>333327791.76977324</v>
      </c>
      <c r="N263">
        <f t="shared" si="70"/>
        <v>4.907911027985904E+17</v>
      </c>
      <c r="O263">
        <v>24.62743309</v>
      </c>
      <c r="P263" s="1">
        <f t="shared" si="71"/>
        <v>1.8675150058916202E+22</v>
      </c>
      <c r="Q263" s="1">
        <f t="shared" si="72"/>
        <v>7.5830680325751321E+20</v>
      </c>
    </row>
    <row r="264" spans="1:17" x14ac:dyDescent="0.2">
      <c r="A264">
        <f t="shared" si="73"/>
        <v>263</v>
      </c>
      <c r="B264">
        <f t="shared" si="75"/>
        <v>142.85714285714286</v>
      </c>
      <c r="C264">
        <f t="shared" si="74"/>
        <v>263000</v>
      </c>
      <c r="E264" t="s">
        <v>8</v>
      </c>
      <c r="F264">
        <v>24.96838309</v>
      </c>
      <c r="G264">
        <v>43.429000000000002</v>
      </c>
      <c r="H264">
        <f t="shared" si="66"/>
        <v>0.57492420018881385</v>
      </c>
      <c r="I264">
        <v>3834.6436100000001</v>
      </c>
      <c r="J264">
        <f t="shared" si="67"/>
        <v>6669.8246633915305</v>
      </c>
      <c r="K264" s="1">
        <v>1.5E-6</v>
      </c>
      <c r="L264" s="1">
        <f t="shared" si="68"/>
        <v>75582.985156814888</v>
      </c>
      <c r="M264" s="1">
        <f t="shared" si="69"/>
        <v>662106949.97369838</v>
      </c>
      <c r="N264">
        <f t="shared" si="70"/>
        <v>1.6463744968269682E+110</v>
      </c>
      <c r="O264">
        <v>4.6114659370000002</v>
      </c>
      <c r="P264" s="1">
        <f t="shared" si="71"/>
        <v>1.2443789915623133E+115</v>
      </c>
      <c r="Q264" s="1">
        <f t="shared" si="72"/>
        <v>2.6984455888052094E+114</v>
      </c>
    </row>
    <row r="265" spans="1:17" x14ac:dyDescent="0.2">
      <c r="A265">
        <f t="shared" si="73"/>
        <v>264</v>
      </c>
      <c r="B265">
        <f t="shared" si="75"/>
        <v>142.85714285714286</v>
      </c>
      <c r="C265">
        <f t="shared" si="74"/>
        <v>264000</v>
      </c>
      <c r="E265" t="s">
        <v>8</v>
      </c>
      <c r="F265">
        <v>22.420943659999999</v>
      </c>
      <c r="G265">
        <v>43.429000000000002</v>
      </c>
      <c r="H265">
        <f t="shared" si="66"/>
        <v>0.51626663427663533</v>
      </c>
      <c r="I265">
        <v>1271.6805979999999</v>
      </c>
      <c r="J265">
        <f t="shared" si="67"/>
        <v>2463.2244533521121</v>
      </c>
      <c r="K265" s="1">
        <v>2.03E-6</v>
      </c>
      <c r="L265" s="1">
        <f t="shared" si="68"/>
        <v>45034.588433444587</v>
      </c>
      <c r="M265" s="1">
        <f t="shared" si="69"/>
        <v>394502994.67697459</v>
      </c>
      <c r="N265">
        <f t="shared" si="70"/>
        <v>5.5539483951668993E+40</v>
      </c>
      <c r="O265">
        <v>15.79987835</v>
      </c>
      <c r="P265" s="1">
        <f t="shared" si="71"/>
        <v>2.5011978015693137E+45</v>
      </c>
      <c r="Q265" s="1">
        <f t="shared" si="72"/>
        <v>1.5830487717453303E+44</v>
      </c>
    </row>
    <row r="266" spans="1:17" x14ac:dyDescent="0.2">
      <c r="A266">
        <f t="shared" si="73"/>
        <v>265</v>
      </c>
      <c r="B266">
        <f t="shared" si="75"/>
        <v>142.85714285714286</v>
      </c>
      <c r="C266">
        <f t="shared" si="74"/>
        <v>265000</v>
      </c>
      <c r="E266" t="s">
        <v>8</v>
      </c>
      <c r="F266">
        <v>21.87145392</v>
      </c>
      <c r="G266">
        <v>43.429000000000002</v>
      </c>
      <c r="H266">
        <f t="shared" si="66"/>
        <v>0.50361403486149803</v>
      </c>
      <c r="I266">
        <v>1068.2961989999999</v>
      </c>
      <c r="J266">
        <f t="shared" si="67"/>
        <v>2121.2597843779286</v>
      </c>
      <c r="K266" s="1">
        <v>2.17E-6</v>
      </c>
      <c r="L266" s="1">
        <f t="shared" si="68"/>
        <v>40089.444223756225</v>
      </c>
      <c r="M266" s="1">
        <f t="shared" si="69"/>
        <v>351183531.40010452</v>
      </c>
      <c r="N266">
        <f t="shared" si="70"/>
        <v>1.2504360450996538E+35</v>
      </c>
      <c r="O266">
        <v>18.936283450000001</v>
      </c>
      <c r="P266" s="1">
        <f t="shared" si="71"/>
        <v>5.0129286085396895E+39</v>
      </c>
      <c r="Q266" s="1">
        <f t="shared" si="72"/>
        <v>2.6472610751608121E+38</v>
      </c>
    </row>
    <row r="267" spans="1:17" x14ac:dyDescent="0.2">
      <c r="A267">
        <f t="shared" si="73"/>
        <v>266</v>
      </c>
      <c r="B267">
        <f t="shared" si="75"/>
        <v>142.85714285714286</v>
      </c>
      <c r="C267">
        <f t="shared" si="74"/>
        <v>266000</v>
      </c>
      <c r="E267" t="s">
        <v>9</v>
      </c>
      <c r="F267">
        <v>18.961203229999999</v>
      </c>
      <c r="G267">
        <v>43.429000000000002</v>
      </c>
      <c r="H267">
        <f t="shared" si="66"/>
        <v>0.43660234474659787</v>
      </c>
      <c r="I267">
        <v>354.27843819999998</v>
      </c>
      <c r="J267">
        <f t="shared" si="67"/>
        <v>811.44419507325745</v>
      </c>
      <c r="K267" s="1">
        <v>1.73E-6</v>
      </c>
      <c r="L267" s="1">
        <f t="shared" si="68"/>
        <v>37793.763786885487</v>
      </c>
      <c r="M267" s="1">
        <f t="shared" si="69"/>
        <v>331073370.77311689</v>
      </c>
      <c r="N267">
        <f t="shared" si="70"/>
        <v>29206572310628.699</v>
      </c>
      <c r="O267">
        <v>20.757299270000001</v>
      </c>
      <c r="P267" s="1">
        <f t="shared" si="71"/>
        <v>1.1038262949324913E+18</v>
      </c>
      <c r="Q267" s="1">
        <f t="shared" si="72"/>
        <v>5.3177741505506136E+16</v>
      </c>
    </row>
    <row r="268" spans="1:17" x14ac:dyDescent="0.2">
      <c r="A268">
        <f t="shared" si="73"/>
        <v>267</v>
      </c>
      <c r="B268">
        <f t="shared" si="75"/>
        <v>142.85714285714286</v>
      </c>
      <c r="C268">
        <f t="shared" si="74"/>
        <v>267000</v>
      </c>
      <c r="E268" t="s">
        <v>9</v>
      </c>
      <c r="F268">
        <v>19.568683069999999</v>
      </c>
      <c r="G268">
        <v>43.429000000000002</v>
      </c>
      <c r="H268">
        <f t="shared" si="66"/>
        <v>0.450590229339842</v>
      </c>
      <c r="I268">
        <v>563.86484810000002</v>
      </c>
      <c r="J268">
        <f t="shared" si="67"/>
        <v>1251.3916445239308</v>
      </c>
      <c r="K268" s="1">
        <v>1.59E-6</v>
      </c>
      <c r="L268" s="1">
        <f t="shared" si="68"/>
        <v>43798.630998962435</v>
      </c>
      <c r="M268" s="1">
        <f t="shared" si="69"/>
        <v>383676007.55091095</v>
      </c>
      <c r="N268">
        <f t="shared" si="70"/>
        <v>5.3852367874410165E+20</v>
      </c>
      <c r="O268">
        <v>15.78086983</v>
      </c>
      <c r="P268" s="1">
        <f t="shared" si="71"/>
        <v>2.3586599889516698E+25</v>
      </c>
      <c r="Q268" s="1">
        <f t="shared" si="72"/>
        <v>1.494632434308388E+24</v>
      </c>
    </row>
    <row r="269" spans="1:17" x14ac:dyDescent="0.2">
      <c r="A269">
        <f t="shared" si="73"/>
        <v>268</v>
      </c>
      <c r="B269">
        <f t="shared" si="75"/>
        <v>142.85714285714286</v>
      </c>
      <c r="C269">
        <f t="shared" si="74"/>
        <v>268000</v>
      </c>
      <c r="E269" t="s">
        <v>9</v>
      </c>
      <c r="F269">
        <v>21.412726899999999</v>
      </c>
      <c r="G269">
        <v>43.429000000000002</v>
      </c>
      <c r="H269">
        <f t="shared" si="66"/>
        <v>0.4930513458748762</v>
      </c>
      <c r="I269">
        <v>375.46850110000003</v>
      </c>
      <c r="J269">
        <f t="shared" si="67"/>
        <v>761.52008151151927</v>
      </c>
      <c r="K269" s="1">
        <v>1.24E-6</v>
      </c>
      <c r="L269" s="1">
        <f t="shared" si="68"/>
        <v>67244.494335867901</v>
      </c>
      <c r="M269" s="1">
        <f t="shared" si="69"/>
        <v>589061770.38220286</v>
      </c>
      <c r="N269">
        <f t="shared" si="70"/>
        <v>4375067458823.2227</v>
      </c>
      <c r="O269">
        <v>7.8733272510000001</v>
      </c>
      <c r="P269" s="1">
        <f t="shared" si="71"/>
        <v>2.9419919895387814E+17</v>
      </c>
      <c r="Q269" s="1">
        <f t="shared" si="72"/>
        <v>3.7366565566865216E+16</v>
      </c>
    </row>
    <row r="270" spans="1:17" x14ac:dyDescent="0.2">
      <c r="A270">
        <f t="shared" si="73"/>
        <v>269</v>
      </c>
      <c r="B270">
        <f t="shared" si="75"/>
        <v>142.85714285714286</v>
      </c>
      <c r="C270">
        <f t="shared" si="74"/>
        <v>269000</v>
      </c>
      <c r="E270" t="s">
        <v>9</v>
      </c>
      <c r="F270">
        <v>19.15347109</v>
      </c>
      <c r="G270">
        <v>43.429000000000002</v>
      </c>
      <c r="H270">
        <f t="shared" si="66"/>
        <v>0.44102952151787972</v>
      </c>
      <c r="I270">
        <v>711.36119550000001</v>
      </c>
      <c r="J270">
        <f t="shared" si="67"/>
        <v>1612.9559605255604</v>
      </c>
      <c r="K270" s="1">
        <v>1.6899999999999999E-6</v>
      </c>
      <c r="L270" s="1">
        <f t="shared" si="68"/>
        <v>39476.872382041096</v>
      </c>
      <c r="M270" s="1">
        <f t="shared" si="69"/>
        <v>345817402.06668001</v>
      </c>
      <c r="N270">
        <f t="shared" si="70"/>
        <v>5.0400283332744863E+26</v>
      </c>
      <c r="O270">
        <v>10.94890511</v>
      </c>
      <c r="P270" s="1">
        <f t="shared" si="71"/>
        <v>1.9896455531454818E+31</v>
      </c>
      <c r="Q270" s="1">
        <f t="shared" si="72"/>
        <v>1.8172096051214035E+30</v>
      </c>
    </row>
    <row r="271" spans="1:17" x14ac:dyDescent="0.2">
      <c r="A271">
        <f t="shared" si="73"/>
        <v>270</v>
      </c>
      <c r="B271">
        <f t="shared" si="75"/>
        <v>142.85714285714286</v>
      </c>
      <c r="C271">
        <f t="shared" si="74"/>
        <v>270000</v>
      </c>
      <c r="E271" t="s">
        <v>9</v>
      </c>
      <c r="F271">
        <v>19.616701639999999</v>
      </c>
      <c r="G271">
        <v>43.429000000000002</v>
      </c>
      <c r="H271">
        <f t="shared" si="66"/>
        <v>0.45169590918510666</v>
      </c>
      <c r="I271">
        <v>633.33369760000005</v>
      </c>
      <c r="J271">
        <f t="shared" si="67"/>
        <v>1402.1240500995052</v>
      </c>
      <c r="K271" s="1">
        <v>1.5799999999999999E-6</v>
      </c>
      <c r="L271" s="1">
        <f t="shared" si="68"/>
        <v>44292.413715489958</v>
      </c>
      <c r="M271" s="1">
        <f t="shared" si="69"/>
        <v>388001544.14769202</v>
      </c>
      <c r="N271">
        <f t="shared" si="70"/>
        <v>1.6616814442585146E+23</v>
      </c>
      <c r="O271">
        <v>7.7668795619999997</v>
      </c>
      <c r="P271" s="1">
        <f t="shared" si="71"/>
        <v>7.3599881992450996E+27</v>
      </c>
      <c r="Q271" s="1">
        <f t="shared" si="72"/>
        <v>9.4761199018127628E+26</v>
      </c>
    </row>
    <row r="272" spans="1:17" x14ac:dyDescent="0.2">
      <c r="A272">
        <f t="shared" si="73"/>
        <v>271</v>
      </c>
      <c r="B272">
        <f t="shared" si="75"/>
        <v>142.85714285714286</v>
      </c>
      <c r="C272">
        <f t="shared" si="74"/>
        <v>271000</v>
      </c>
      <c r="E272" t="s">
        <v>9</v>
      </c>
      <c r="F272">
        <v>20.422403070000001</v>
      </c>
      <c r="G272">
        <v>43.429000000000002</v>
      </c>
      <c r="H272">
        <f t="shared" si="66"/>
        <v>0.47024806166386518</v>
      </c>
      <c r="I272">
        <v>502.01586959999997</v>
      </c>
      <c r="J272">
        <f t="shared" si="67"/>
        <v>1067.5554255848108</v>
      </c>
      <c r="K272" s="1">
        <v>1.4100000000000001E-6</v>
      </c>
      <c r="L272" s="1">
        <f t="shared" si="68"/>
        <v>53793.405069523025</v>
      </c>
      <c r="M272" s="1">
        <f t="shared" si="69"/>
        <v>471230228.40902168</v>
      </c>
      <c r="N272">
        <f t="shared" si="70"/>
        <v>4.9562471553519098E+17</v>
      </c>
      <c r="O272">
        <v>5.9192518249999999</v>
      </c>
      <c r="P272" s="1">
        <f t="shared" si="71"/>
        <v>2.6661341085251651E+22</v>
      </c>
      <c r="Q272" s="1">
        <f t="shared" si="72"/>
        <v>4.5041741546874722E+21</v>
      </c>
    </row>
    <row r="273" spans="1:17" x14ac:dyDescent="0.2">
      <c r="A273">
        <f t="shared" si="73"/>
        <v>272</v>
      </c>
      <c r="B273">
        <f t="shared" si="75"/>
        <v>142.85714285714286</v>
      </c>
      <c r="C273">
        <f t="shared" si="74"/>
        <v>272000</v>
      </c>
      <c r="E273" t="s">
        <v>9</v>
      </c>
      <c r="F273">
        <v>20.969313339999999</v>
      </c>
      <c r="G273">
        <v>43.429000000000002</v>
      </c>
      <c r="H273">
        <f t="shared" si="66"/>
        <v>0.4828412659743489</v>
      </c>
      <c r="I273">
        <v>354.27843819999998</v>
      </c>
      <c r="J273">
        <f t="shared" si="67"/>
        <v>733.73686792301044</v>
      </c>
      <c r="K273" s="1">
        <v>1.31E-6</v>
      </c>
      <c r="L273" s="1">
        <f t="shared" si="68"/>
        <v>61042.397731149016</v>
      </c>
      <c r="M273" s="1">
        <f t="shared" si="69"/>
        <v>534731404.12486535</v>
      </c>
      <c r="N273">
        <f t="shared" si="70"/>
        <v>1521056972328.7297</v>
      </c>
      <c r="O273">
        <v>5.14370438</v>
      </c>
      <c r="P273" s="1">
        <f t="shared" si="71"/>
        <v>9.2848964676627648E+16</v>
      </c>
      <c r="Q273" s="1">
        <f t="shared" si="72"/>
        <v>1.805099162340034E+16</v>
      </c>
    </row>
    <row r="274" spans="1:17" x14ac:dyDescent="0.2">
      <c r="A274">
        <f t="shared" si="73"/>
        <v>273</v>
      </c>
      <c r="B274">
        <f t="shared" si="75"/>
        <v>142.85714285714286</v>
      </c>
      <c r="C274">
        <f t="shared" si="74"/>
        <v>273000</v>
      </c>
      <c r="E274" t="s">
        <v>9</v>
      </c>
      <c r="F274">
        <v>18.989833910000002</v>
      </c>
      <c r="G274">
        <v>43.429000000000002</v>
      </c>
      <c r="H274">
        <f t="shared" si="66"/>
        <v>0.43726159731976333</v>
      </c>
      <c r="I274">
        <v>633.33369760000005</v>
      </c>
      <c r="J274">
        <f t="shared" si="67"/>
        <v>1448.4091479381664</v>
      </c>
      <c r="K274" s="1">
        <v>1.73E-6</v>
      </c>
      <c r="L274" s="1">
        <f t="shared" si="68"/>
        <v>37907.984185136644</v>
      </c>
      <c r="M274" s="1">
        <f t="shared" si="69"/>
        <v>332073941.461797</v>
      </c>
      <c r="N274">
        <f t="shared" si="70"/>
        <v>9.6592927414349862E+23</v>
      </c>
      <c r="O274">
        <v>11.78527981</v>
      </c>
      <c r="P274" s="1">
        <f t="shared" si="71"/>
        <v>3.6616431648192261E+28</v>
      </c>
      <c r="Q274" s="1">
        <f t="shared" si="72"/>
        <v>3.1069632828846903E+27</v>
      </c>
    </row>
    <row r="275" spans="1:17" x14ac:dyDescent="0.2">
      <c r="A275">
        <f t="shared" si="73"/>
        <v>274</v>
      </c>
      <c r="B275">
        <f t="shared" si="75"/>
        <v>142.85714285714286</v>
      </c>
      <c r="C275">
        <f t="shared" si="74"/>
        <v>274000</v>
      </c>
      <c r="E275" t="s">
        <v>9</v>
      </c>
      <c r="F275">
        <v>19.046543629999999</v>
      </c>
      <c r="G275">
        <v>43.429000000000002</v>
      </c>
      <c r="H275">
        <f t="shared" si="66"/>
        <v>0.43856740035460173</v>
      </c>
      <c r="I275">
        <v>502.01586959999997</v>
      </c>
      <c r="J275">
        <f t="shared" si="67"/>
        <v>1144.6721055739602</v>
      </c>
      <c r="K275" s="1">
        <v>1.7099999999999999E-6</v>
      </c>
      <c r="L275" s="1">
        <f t="shared" si="68"/>
        <v>38580.753260965605</v>
      </c>
      <c r="M275" s="1">
        <f t="shared" si="69"/>
        <v>337967398.5660587</v>
      </c>
      <c r="N275">
        <f t="shared" si="70"/>
        <v>9.3053676822512148E+18</v>
      </c>
      <c r="O275">
        <v>10.637165449999999</v>
      </c>
      <c r="P275" s="1">
        <f t="shared" si="71"/>
        <v>3.5900809455149752E+23</v>
      </c>
      <c r="Q275" s="1">
        <f t="shared" si="72"/>
        <v>3.3750353535348794E+22</v>
      </c>
    </row>
    <row r="276" spans="1:17" x14ac:dyDescent="0.2">
      <c r="A276">
        <f t="shared" si="73"/>
        <v>275</v>
      </c>
      <c r="B276">
        <f t="shared" si="75"/>
        <v>142.85714285714286</v>
      </c>
      <c r="C276">
        <f t="shared" si="74"/>
        <v>275000</v>
      </c>
      <c r="E276" t="s">
        <v>9</v>
      </c>
      <c r="F276">
        <v>20.158242009999999</v>
      </c>
      <c r="G276">
        <v>43.429000000000002</v>
      </c>
      <c r="H276">
        <f t="shared" si="66"/>
        <v>0.46416546570264106</v>
      </c>
      <c r="I276">
        <v>421.72668670000002</v>
      </c>
      <c r="J276">
        <f t="shared" si="67"/>
        <v>908.56971890746252</v>
      </c>
      <c r="K276" s="1">
        <v>1.46E-6</v>
      </c>
      <c r="L276" s="1">
        <f t="shared" si="68"/>
        <v>50615.894373955984</v>
      </c>
      <c r="M276" s="1">
        <f t="shared" si="69"/>
        <v>443395234.71585441</v>
      </c>
      <c r="N276">
        <f t="shared" si="70"/>
        <v>1173564246288578</v>
      </c>
      <c r="O276">
        <v>3.801703163</v>
      </c>
      <c r="P276" s="1">
        <f t="shared" si="71"/>
        <v>5.9401003931193926E+19</v>
      </c>
      <c r="Q276" s="1">
        <f t="shared" si="72"/>
        <v>1.5624840074131249E+19</v>
      </c>
    </row>
    <row r="277" spans="1:17" x14ac:dyDescent="0.2">
      <c r="A277">
        <f t="shared" si="73"/>
        <v>276</v>
      </c>
      <c r="B277">
        <f t="shared" si="75"/>
        <v>142.85714285714286</v>
      </c>
      <c r="C277">
        <f t="shared" si="74"/>
        <v>276000</v>
      </c>
      <c r="E277" t="s">
        <v>9</v>
      </c>
      <c r="F277">
        <v>19.794134849999999</v>
      </c>
      <c r="G277">
        <v>43.429000000000002</v>
      </c>
      <c r="H277">
        <f t="shared" si="66"/>
        <v>0.4557815019917566</v>
      </c>
      <c r="I277">
        <v>532.04238750000002</v>
      </c>
      <c r="J277">
        <f t="shared" si="67"/>
        <v>1167.318956945345</v>
      </c>
      <c r="K277" s="1">
        <v>1.5400000000000001E-6</v>
      </c>
      <c r="L277" s="1">
        <f t="shared" si="68"/>
        <v>46268.645910614636</v>
      </c>
      <c r="M277" s="1">
        <f t="shared" si="69"/>
        <v>405313338.17698419</v>
      </c>
      <c r="N277">
        <f t="shared" si="70"/>
        <v>2.2016378404619616E+19</v>
      </c>
      <c r="O277">
        <v>2.9691301700000001</v>
      </c>
      <c r="P277" s="1">
        <f t="shared" si="71"/>
        <v>1.0186680166374478E+24</v>
      </c>
      <c r="Q277" s="1">
        <f t="shared" si="72"/>
        <v>3.430863445900884E+23</v>
      </c>
    </row>
    <row r="278" spans="1:17" x14ac:dyDescent="0.2">
      <c r="A278">
        <f t="shared" si="73"/>
        <v>277</v>
      </c>
      <c r="B278">
        <f t="shared" si="75"/>
        <v>142.85714285714286</v>
      </c>
      <c r="C278">
        <f t="shared" si="74"/>
        <v>277000</v>
      </c>
      <c r="E278" t="s">
        <v>9</v>
      </c>
      <c r="F278">
        <v>21.40616859</v>
      </c>
      <c r="G278">
        <v>43.429000000000002</v>
      </c>
      <c r="H278">
        <f t="shared" si="66"/>
        <v>0.49290033364802321</v>
      </c>
      <c r="I278">
        <v>397.92598170000002</v>
      </c>
      <c r="J278">
        <f t="shared" si="67"/>
        <v>807.31530196966003</v>
      </c>
      <c r="K278" s="1">
        <v>1.24E-6</v>
      </c>
      <c r="L278" s="1">
        <f t="shared" si="68"/>
        <v>67203.309230842002</v>
      </c>
      <c r="M278" s="1">
        <f t="shared" si="69"/>
        <v>588700988.86217594</v>
      </c>
      <c r="N278">
        <f t="shared" si="70"/>
        <v>24962725193455.441</v>
      </c>
      <c r="O278">
        <v>1.486465937</v>
      </c>
      <c r="P278" s="1">
        <f t="shared" si="71"/>
        <v>1.6775777404203162E+18</v>
      </c>
      <c r="Q278" s="1">
        <f t="shared" si="72"/>
        <v>1.1285678996492983E+18</v>
      </c>
    </row>
    <row r="279" spans="1:17" x14ac:dyDescent="0.2">
      <c r="A279">
        <f t="shared" si="73"/>
        <v>278</v>
      </c>
      <c r="B279">
        <f t="shared" si="75"/>
        <v>142.85714285714286</v>
      </c>
      <c r="C279">
        <f t="shared" si="74"/>
        <v>278000</v>
      </c>
      <c r="E279" t="s">
        <v>9</v>
      </c>
      <c r="F279">
        <v>18.372303729999999</v>
      </c>
      <c r="G279">
        <v>43.429000000000002</v>
      </c>
      <c r="H279">
        <f t="shared" si="66"/>
        <v>0.42304229270763771</v>
      </c>
      <c r="I279">
        <v>502.01586959999997</v>
      </c>
      <c r="J279">
        <f t="shared" si="67"/>
        <v>1186.6800985473585</v>
      </c>
      <c r="K279" s="1">
        <v>1.8899999999999999E-6</v>
      </c>
      <c r="L279" s="1">
        <f t="shared" si="68"/>
        <v>32478.79366499036</v>
      </c>
      <c r="M279" s="1">
        <f t="shared" si="69"/>
        <v>284514232.50531554</v>
      </c>
      <c r="N279">
        <f t="shared" si="70"/>
        <v>4.5972146950368379E+19</v>
      </c>
      <c r="O279">
        <v>17.309154500000002</v>
      </c>
      <c r="P279" s="1">
        <f t="shared" si="71"/>
        <v>1.4931198751376304E+24</v>
      </c>
      <c r="Q279" s="1">
        <f t="shared" si="72"/>
        <v>8.6261860747596326E+22</v>
      </c>
    </row>
    <row r="280" spans="1:17" x14ac:dyDescent="0.2">
      <c r="A280">
        <f t="shared" si="73"/>
        <v>279</v>
      </c>
      <c r="B280">
        <f t="shared" si="75"/>
        <v>142.85714285714286</v>
      </c>
      <c r="C280">
        <f t="shared" si="74"/>
        <v>279000</v>
      </c>
      <c r="E280" t="s">
        <v>9</v>
      </c>
      <c r="F280">
        <v>18.172624110000001</v>
      </c>
      <c r="G280">
        <v>43.429000000000002</v>
      </c>
      <c r="H280">
        <f t="shared" si="66"/>
        <v>0.41844445209422276</v>
      </c>
      <c r="I280">
        <v>375.46850110000003</v>
      </c>
      <c r="J280">
        <f t="shared" si="67"/>
        <v>897.29592355893953</v>
      </c>
      <c r="K280" s="1">
        <v>1.95E-6</v>
      </c>
      <c r="L280" s="1">
        <f t="shared" si="68"/>
        <v>30798.895130529723</v>
      </c>
      <c r="M280" s="1">
        <f t="shared" si="69"/>
        <v>269798321.34344035</v>
      </c>
      <c r="N280">
        <f t="shared" si="70"/>
        <v>764399408809620.75</v>
      </c>
      <c r="O280">
        <v>18.658759119999999</v>
      </c>
      <c r="P280" s="1">
        <f t="shared" si="71"/>
        <v>2.3542657229766427E+19</v>
      </c>
      <c r="Q280" s="1">
        <f t="shared" si="72"/>
        <v>1.2617482801700068E+18</v>
      </c>
    </row>
    <row r="281" spans="1:17" x14ac:dyDescent="0.2">
      <c r="A281">
        <f t="shared" si="73"/>
        <v>280</v>
      </c>
      <c r="B281">
        <f t="shared" si="75"/>
        <v>142.85714285714286</v>
      </c>
      <c r="C281">
        <f t="shared" si="74"/>
        <v>280000</v>
      </c>
      <c r="E281" t="s">
        <v>9</v>
      </c>
      <c r="F281">
        <v>18.69366922</v>
      </c>
      <c r="G281">
        <v>43.429000000000002</v>
      </c>
      <c r="H281">
        <f t="shared" si="66"/>
        <v>0.43044208293997099</v>
      </c>
      <c r="I281">
        <v>315.41848870000001</v>
      </c>
      <c r="J281">
        <f t="shared" si="67"/>
        <v>732.77800011015177</v>
      </c>
      <c r="K281" s="1">
        <v>1.7999999999999999E-6</v>
      </c>
      <c r="L281" s="1">
        <f t="shared" si="68"/>
        <v>35306.207033686333</v>
      </c>
      <c r="M281" s="1">
        <f t="shared" si="69"/>
        <v>309282373.61509228</v>
      </c>
      <c r="N281">
        <f t="shared" si="70"/>
        <v>1466593637274.7393</v>
      </c>
      <c r="O281">
        <v>17.001216549999999</v>
      </c>
      <c r="P281" s="1">
        <f t="shared" si="71"/>
        <v>5.1779858591909024E+16</v>
      </c>
      <c r="Q281" s="1">
        <f t="shared" si="72"/>
        <v>3045656082294242</v>
      </c>
    </row>
    <row r="282" spans="1:17" x14ac:dyDescent="0.2">
      <c r="A282">
        <f t="shared" si="73"/>
        <v>281</v>
      </c>
      <c r="B282">
        <f t="shared" si="75"/>
        <v>142.85714285714286</v>
      </c>
      <c r="C282">
        <f t="shared" si="74"/>
        <v>281000</v>
      </c>
      <c r="E282" t="s">
        <v>9</v>
      </c>
      <c r="F282">
        <v>20.577166770000002</v>
      </c>
      <c r="G282">
        <v>43.429000000000002</v>
      </c>
      <c r="H282">
        <f t="shared" si="66"/>
        <v>0.473811664325681</v>
      </c>
      <c r="I282">
        <v>1801.9833349999999</v>
      </c>
      <c r="J282">
        <f t="shared" si="67"/>
        <v>3803.163726592813</v>
      </c>
      <c r="K282" s="1">
        <v>1.3799999999999999E-6</v>
      </c>
      <c r="L282" s="1">
        <f t="shared" si="68"/>
        <v>55799.014626896846</v>
      </c>
      <c r="M282" s="1">
        <f t="shared" si="69"/>
        <v>488799368.13161635</v>
      </c>
      <c r="N282">
        <f t="shared" si="70"/>
        <v>7.4760953465113987E+62</v>
      </c>
      <c r="O282">
        <v>6.5959549879999999</v>
      </c>
      <c r="P282" s="1">
        <f t="shared" si="71"/>
        <v>4.17158753592065E+67</v>
      </c>
      <c r="Q282" s="1">
        <f t="shared" si="72"/>
        <v>6.3244633165478027E+66</v>
      </c>
    </row>
    <row r="283" spans="1:17" x14ac:dyDescent="0.2">
      <c r="A283">
        <f t="shared" si="73"/>
        <v>282</v>
      </c>
      <c r="B283">
        <f t="shared" si="75"/>
        <v>142.85714285714286</v>
      </c>
      <c r="C283">
        <f t="shared" si="74"/>
        <v>282000</v>
      </c>
      <c r="E283" t="s">
        <v>9</v>
      </c>
      <c r="F283">
        <v>18.27544327</v>
      </c>
      <c r="G283">
        <v>43.429000000000002</v>
      </c>
      <c r="H283">
        <f t="shared" si="66"/>
        <v>0.4208119751778765</v>
      </c>
      <c r="I283">
        <v>532.04238750000002</v>
      </c>
      <c r="J283">
        <f t="shared" si="67"/>
        <v>1264.3233056167344</v>
      </c>
      <c r="K283" s="1">
        <v>1.9199999999999998E-6</v>
      </c>
      <c r="L283" s="1">
        <f t="shared" si="68"/>
        <v>31635.089806987125</v>
      </c>
      <c r="M283" s="1">
        <f t="shared" si="69"/>
        <v>277123386.70920724</v>
      </c>
      <c r="N283">
        <f t="shared" si="70"/>
        <v>8.8058433252826179E+20</v>
      </c>
      <c r="O283">
        <v>15.60979319</v>
      </c>
      <c r="P283" s="1">
        <f t="shared" si="71"/>
        <v>2.7857364442157377E+25</v>
      </c>
      <c r="Q283" s="1">
        <f t="shared" si="72"/>
        <v>1.78460816892843E+24</v>
      </c>
    </row>
    <row r="284" spans="1:17" x14ac:dyDescent="0.2">
      <c r="A284">
        <f t="shared" si="73"/>
        <v>283</v>
      </c>
      <c r="B284">
        <f t="shared" si="75"/>
        <v>142.85714285714286</v>
      </c>
      <c r="C284">
        <f t="shared" si="74"/>
        <v>283000</v>
      </c>
      <c r="E284" t="s">
        <v>9</v>
      </c>
      <c r="F284">
        <v>20.419318629999999</v>
      </c>
      <c r="G284">
        <v>43.429000000000002</v>
      </c>
      <c r="H284">
        <f t="shared" si="66"/>
        <v>0.47017703907527225</v>
      </c>
      <c r="I284">
        <v>397.92598170000002</v>
      </c>
      <c r="J284">
        <f t="shared" si="67"/>
        <v>846.33222941432211</v>
      </c>
      <c r="K284" s="1">
        <v>1.4100000000000001E-6</v>
      </c>
      <c r="L284" s="1">
        <f t="shared" si="68"/>
        <v>53777.157226412339</v>
      </c>
      <c r="M284" s="1">
        <f t="shared" si="69"/>
        <v>471087897.30337209</v>
      </c>
      <c r="N284">
        <f t="shared" si="70"/>
        <v>110066675880534.11</v>
      </c>
      <c r="O284">
        <v>7.1434002430000003</v>
      </c>
      <c r="P284" s="1">
        <f t="shared" si="71"/>
        <v>5.9190729342160497E+18</v>
      </c>
      <c r="Q284" s="1">
        <f t="shared" si="72"/>
        <v>8.286072084531872E+17</v>
      </c>
    </row>
    <row r="285" spans="1:17" x14ac:dyDescent="0.2">
      <c r="A285">
        <f t="shared" si="73"/>
        <v>284</v>
      </c>
      <c r="B285">
        <f t="shared" si="75"/>
        <v>142.85714285714286</v>
      </c>
      <c r="C285">
        <f t="shared" si="74"/>
        <v>284000</v>
      </c>
      <c r="E285" t="s">
        <v>9</v>
      </c>
      <c r="F285">
        <v>20.324500929999999</v>
      </c>
      <c r="G285">
        <v>43.429000000000002</v>
      </c>
      <c r="H285">
        <f t="shared" si="66"/>
        <v>0.46799375831817447</v>
      </c>
      <c r="I285">
        <v>1428.3532270000001</v>
      </c>
      <c r="J285">
        <f t="shared" si="67"/>
        <v>3052.0775151640096</v>
      </c>
      <c r="K285" s="1">
        <v>1.4300000000000001E-6</v>
      </c>
      <c r="L285" s="1">
        <f t="shared" si="68"/>
        <v>52533.725967759492</v>
      </c>
      <c r="M285" s="1">
        <f t="shared" si="69"/>
        <v>460195439.47757316</v>
      </c>
      <c r="N285">
        <f t="shared" si="70"/>
        <v>2.9478105050709573E+50</v>
      </c>
      <c r="O285">
        <v>7.9797749390000003</v>
      </c>
      <c r="P285" s="1">
        <f t="shared" si="71"/>
        <v>1.5485946927828037E+55</v>
      </c>
      <c r="Q285" s="1">
        <f t="shared" si="72"/>
        <v>1.9406495855093235E+54</v>
      </c>
    </row>
    <row r="286" spans="1:17" x14ac:dyDescent="0.2">
      <c r="A286">
        <f t="shared" si="73"/>
        <v>285</v>
      </c>
      <c r="B286">
        <f t="shared" si="75"/>
        <v>142.85714285714286</v>
      </c>
      <c r="C286">
        <f t="shared" si="74"/>
        <v>285000</v>
      </c>
      <c r="E286" t="s">
        <v>9</v>
      </c>
      <c r="F286">
        <v>22.08945421</v>
      </c>
      <c r="G286">
        <v>43.429000000000002</v>
      </c>
      <c r="H286">
        <f t="shared" si="66"/>
        <v>0.50863372884478109</v>
      </c>
      <c r="I286">
        <v>334.28426459999997</v>
      </c>
      <c r="J286">
        <f t="shared" si="67"/>
        <v>657.2200104763657</v>
      </c>
      <c r="K286" s="1">
        <v>1.1400000000000001E-6</v>
      </c>
      <c r="L286" s="1">
        <f t="shared" si="68"/>
        <v>77839.41811461524</v>
      </c>
      <c r="M286" s="1">
        <f t="shared" si="69"/>
        <v>681873302.68402946</v>
      </c>
      <c r="N286">
        <f t="shared" si="70"/>
        <v>82884048661.534363</v>
      </c>
      <c r="O286">
        <v>3.9195559609999999</v>
      </c>
      <c r="P286" s="1">
        <f t="shared" si="71"/>
        <v>6451646118797289</v>
      </c>
      <c r="Q286" s="1">
        <f t="shared" si="72"/>
        <v>1646014544247322</v>
      </c>
    </row>
    <row r="287" spans="1:17" x14ac:dyDescent="0.2">
      <c r="A287">
        <f t="shared" si="73"/>
        <v>286</v>
      </c>
      <c r="B287">
        <f t="shared" si="75"/>
        <v>142.85714285714286</v>
      </c>
      <c r="C287">
        <f t="shared" si="74"/>
        <v>286000</v>
      </c>
      <c r="E287" t="s">
        <v>9</v>
      </c>
      <c r="F287">
        <v>20.80120651</v>
      </c>
      <c r="G287">
        <v>43.429000000000002</v>
      </c>
      <c r="H287">
        <f t="shared" si="66"/>
        <v>0.47897042321950767</v>
      </c>
      <c r="I287">
        <v>1604.3281179999999</v>
      </c>
      <c r="J287">
        <f t="shared" si="67"/>
        <v>3349.5348360262974</v>
      </c>
      <c r="K287" s="1">
        <v>1.3400000000000001E-6</v>
      </c>
      <c r="L287" s="1">
        <f t="shared" si="68"/>
        <v>58722.794438389908</v>
      </c>
      <c r="M287" s="1">
        <f t="shared" si="69"/>
        <v>514411679.28029561</v>
      </c>
      <c r="N287">
        <f t="shared" si="70"/>
        <v>2.4099157767216558E+55</v>
      </c>
      <c r="O287">
        <v>6.70620438</v>
      </c>
      <c r="P287" s="1">
        <f t="shared" si="71"/>
        <v>1.4151698877025854E+60</v>
      </c>
      <c r="Q287" s="1">
        <f t="shared" si="72"/>
        <v>2.1102397235656353E+59</v>
      </c>
    </row>
    <row r="288" spans="1:17" x14ac:dyDescent="0.2">
      <c r="A288">
        <f t="shared" si="73"/>
        <v>287</v>
      </c>
      <c r="B288">
        <f>3000/21</f>
        <v>142.85714285714286</v>
      </c>
      <c r="C288">
        <f t="shared" si="74"/>
        <v>287000</v>
      </c>
      <c r="E288" t="s">
        <v>9</v>
      </c>
      <c r="F288">
        <v>20.896171710000001</v>
      </c>
      <c r="G288">
        <v>43.429000000000002</v>
      </c>
      <c r="H288">
        <f t="shared" si="66"/>
        <v>0.48115710032466785</v>
      </c>
      <c r="I288">
        <v>3414.0307790000002</v>
      </c>
      <c r="J288">
        <f t="shared" si="67"/>
        <v>7095.4596257570192</v>
      </c>
      <c r="K288" s="1">
        <v>1.3200000000000001E-6</v>
      </c>
      <c r="L288" s="1">
        <f t="shared" si="68"/>
        <v>60158.082750867405</v>
      </c>
      <c r="M288" s="1">
        <f t="shared" si="69"/>
        <v>526984804.89759845</v>
      </c>
      <c r="N288">
        <f t="shared" si="70"/>
        <v>1.7614988991328709E+117</v>
      </c>
      <c r="O288">
        <v>4.6266727489999999</v>
      </c>
      <c r="P288" s="1">
        <f t="shared" si="71"/>
        <v>1.0596839653959708E+122</v>
      </c>
      <c r="Q288" s="1">
        <f t="shared" si="72"/>
        <v>2.2903801995181285E+121</v>
      </c>
    </row>
    <row r="289" spans="1:17" x14ac:dyDescent="0.2">
      <c r="A289">
        <f t="shared" si="73"/>
        <v>288</v>
      </c>
      <c r="B289">
        <f t="shared" si="75"/>
        <v>142.85714285714286</v>
      </c>
      <c r="C289">
        <f t="shared" si="74"/>
        <v>288000</v>
      </c>
      <c r="E289" t="s">
        <v>9</v>
      </c>
      <c r="F289">
        <v>21.51762927</v>
      </c>
      <c r="G289">
        <v>43.429000000000002</v>
      </c>
      <c r="H289">
        <f t="shared" si="66"/>
        <v>0.4954668371364756</v>
      </c>
      <c r="I289">
        <v>2868.012698</v>
      </c>
      <c r="J289">
        <f t="shared" si="67"/>
        <v>5788.5058757424167</v>
      </c>
      <c r="K289" s="1">
        <v>1.22E-6</v>
      </c>
      <c r="L289" s="1">
        <f t="shared" si="68"/>
        <v>69018.17511376545</v>
      </c>
      <c r="M289" s="1">
        <f t="shared" si="69"/>
        <v>604599213.99658537</v>
      </c>
      <c r="N289">
        <f t="shared" si="70"/>
        <v>4.5873799003833612E+95</v>
      </c>
      <c r="O289">
        <v>3.64203163</v>
      </c>
      <c r="P289" s="1">
        <f t="shared" si="71"/>
        <v>3.1661258927802674E+100</v>
      </c>
      <c r="Q289" s="1">
        <f t="shared" si="72"/>
        <v>8.69329597991511E+99</v>
      </c>
    </row>
    <row r="290" spans="1:17" x14ac:dyDescent="0.2">
      <c r="A290">
        <f t="shared" si="73"/>
        <v>289</v>
      </c>
      <c r="B290">
        <f t="shared" si="75"/>
        <v>142.85714285714286</v>
      </c>
      <c r="C290">
        <f t="shared" si="74"/>
        <v>289000</v>
      </c>
      <c r="E290" t="s">
        <v>10</v>
      </c>
      <c r="F290">
        <v>20.332807370000001</v>
      </c>
      <c r="G290">
        <v>43.429000000000002</v>
      </c>
      <c r="H290">
        <f t="shared" si="66"/>
        <v>0.46818502314121901</v>
      </c>
      <c r="I290">
        <v>532.04238750000002</v>
      </c>
      <c r="J290">
        <f t="shared" si="67"/>
        <v>1136.3934367877455</v>
      </c>
      <c r="K290" s="1">
        <v>9.7999999999999993E-7</v>
      </c>
      <c r="L290" s="1">
        <f t="shared" si="68"/>
        <v>76719.025562810333</v>
      </c>
      <c r="M290" s="1">
        <f t="shared" si="69"/>
        <v>672058663.93021858</v>
      </c>
      <c r="N290">
        <f t="shared" si="70"/>
        <v>6.7922157416440504E+18</v>
      </c>
      <c r="O290">
        <v>2.8740875909999999</v>
      </c>
      <c r="P290" s="1">
        <f t="shared" si="71"/>
        <v>5.2109217311131264E+23</v>
      </c>
      <c r="Q290" s="1">
        <f t="shared" si="72"/>
        <v>1.8130699104059165E+23</v>
      </c>
    </row>
    <row r="291" spans="1:17" x14ac:dyDescent="0.2">
      <c r="A291">
        <f t="shared" si="73"/>
        <v>290</v>
      </c>
      <c r="B291">
        <f t="shared" si="75"/>
        <v>142.85714285714286</v>
      </c>
      <c r="C291">
        <f t="shared" si="74"/>
        <v>290000</v>
      </c>
      <c r="E291" t="s">
        <v>10</v>
      </c>
      <c r="F291">
        <v>20.425895650000001</v>
      </c>
      <c r="G291">
        <v>43.429000000000002</v>
      </c>
      <c r="H291">
        <f t="shared" si="66"/>
        <v>0.47032848212024225</v>
      </c>
      <c r="I291">
        <v>633.33369760000005</v>
      </c>
      <c r="J291">
        <f t="shared" si="67"/>
        <v>1346.5773851180131</v>
      </c>
      <c r="K291" s="1">
        <v>9.6800000000000009E-7</v>
      </c>
      <c r="L291" s="1">
        <f t="shared" si="68"/>
        <v>78382.898982521845</v>
      </c>
      <c r="M291" s="1">
        <f t="shared" si="69"/>
        <v>686634195.08689141</v>
      </c>
      <c r="N291">
        <f t="shared" si="70"/>
        <v>2.0099978706481637E+22</v>
      </c>
      <c r="O291">
        <v>3.1478102190000001</v>
      </c>
      <c r="P291" s="1">
        <f t="shared" si="71"/>
        <v>1.5754946005009901E+27</v>
      </c>
      <c r="Q291" s="1">
        <f t="shared" si="72"/>
        <v>5.0050495134407911E+26</v>
      </c>
    </row>
    <row r="292" spans="1:17" x14ac:dyDescent="0.2">
      <c r="A292">
        <f t="shared" si="73"/>
        <v>291</v>
      </c>
      <c r="B292">
        <f t="shared" si="75"/>
        <v>142.85714285714286</v>
      </c>
      <c r="C292">
        <f t="shared" si="74"/>
        <v>291000</v>
      </c>
      <c r="E292" t="s">
        <v>10</v>
      </c>
      <c r="F292">
        <v>20.43265091</v>
      </c>
      <c r="G292">
        <v>43.429000000000002</v>
      </c>
      <c r="H292">
        <f t="shared" si="66"/>
        <v>0.47048402933523681</v>
      </c>
      <c r="I292">
        <v>1132.1930130000001</v>
      </c>
      <c r="J292">
        <f t="shared" si="67"/>
        <v>2406.4430297447393</v>
      </c>
      <c r="K292" s="1">
        <v>9.6700000000000002E-7</v>
      </c>
      <c r="L292" s="1">
        <f t="shared" si="68"/>
        <v>78515.86463062602</v>
      </c>
      <c r="M292" s="1">
        <f t="shared" si="69"/>
        <v>687798974.16428399</v>
      </c>
      <c r="N292">
        <f t="shared" si="70"/>
        <v>6.4099944104573618E+39</v>
      </c>
      <c r="O292">
        <v>3.6306265209999999</v>
      </c>
      <c r="P292" s="1">
        <f t="shared" si="71"/>
        <v>5.0328625341453968E+44</v>
      </c>
      <c r="Q292" s="1">
        <f t="shared" si="72"/>
        <v>1.3862242522150619E+44</v>
      </c>
    </row>
    <row r="293" spans="1:17" x14ac:dyDescent="0.2">
      <c r="A293">
        <f t="shared" si="73"/>
        <v>292</v>
      </c>
      <c r="B293">
        <f t="shared" si="75"/>
        <v>142.85714285714286</v>
      </c>
      <c r="C293">
        <f t="shared" si="74"/>
        <v>292000</v>
      </c>
      <c r="E293" t="s">
        <v>10</v>
      </c>
      <c r="F293">
        <v>20.24880186</v>
      </c>
      <c r="G293">
        <v>43.429000000000002</v>
      </c>
      <c r="H293">
        <f t="shared" si="66"/>
        <v>0.46625070482857078</v>
      </c>
      <c r="I293">
        <v>563.86484810000002</v>
      </c>
      <c r="J293">
        <f t="shared" si="67"/>
        <v>1209.3597763188789</v>
      </c>
      <c r="K293" s="1">
        <v>9.9199999999999999E-7</v>
      </c>
      <c r="L293" s="1">
        <f t="shared" si="68"/>
        <v>75166.001890450294</v>
      </c>
      <c r="M293" s="1">
        <f t="shared" si="69"/>
        <v>658454176.56034458</v>
      </c>
      <c r="N293">
        <f t="shared" si="70"/>
        <v>1.0890536041717239E+20</v>
      </c>
      <c r="O293">
        <v>3.2010340629999998</v>
      </c>
      <c r="P293" s="1">
        <f t="shared" si="71"/>
        <v>8.1859805269973504E+24</v>
      </c>
      <c r="Q293" s="1">
        <f t="shared" si="72"/>
        <v>2.55729253918825E+24</v>
      </c>
    </row>
    <row r="294" spans="1:17" x14ac:dyDescent="0.2">
      <c r="A294">
        <f t="shared" si="73"/>
        <v>293</v>
      </c>
      <c r="B294">
        <f t="shared" si="75"/>
        <v>142.85714285714286</v>
      </c>
      <c r="C294">
        <f t="shared" si="74"/>
        <v>293000</v>
      </c>
      <c r="E294" t="s">
        <v>10</v>
      </c>
      <c r="F294">
        <v>20.493981730000002</v>
      </c>
      <c r="G294">
        <v>43.429000000000002</v>
      </c>
      <c r="H294">
        <f t="shared" si="66"/>
        <v>0.47189623822791221</v>
      </c>
      <c r="I294">
        <v>3221.355423</v>
      </c>
      <c r="J294">
        <f t="shared" si="67"/>
        <v>6826.4062351863431</v>
      </c>
      <c r="K294" s="1">
        <v>9.5900000000000005E-7</v>
      </c>
      <c r="L294" s="1">
        <f t="shared" si="68"/>
        <v>79646.838854226793</v>
      </c>
      <c r="M294" s="1">
        <f t="shared" si="69"/>
        <v>697706308.36302674</v>
      </c>
      <c r="N294">
        <f t="shared" si="70"/>
        <v>6.3455675442045494E+112</v>
      </c>
      <c r="O294">
        <v>2.6611922140000002</v>
      </c>
      <c r="P294" s="1">
        <f t="shared" si="71"/>
        <v>5.0540439563187141E+117</v>
      </c>
      <c r="Q294" s="1">
        <f t="shared" si="72"/>
        <v>1.8991653176085512E+117</v>
      </c>
    </row>
    <row r="295" spans="1:17" x14ac:dyDescent="0.2">
      <c r="A295">
        <f t="shared" si="73"/>
        <v>294</v>
      </c>
      <c r="B295">
        <f t="shared" si="75"/>
        <v>142.85714285714286</v>
      </c>
      <c r="C295">
        <f t="shared" si="74"/>
        <v>294000</v>
      </c>
      <c r="E295" t="s">
        <v>10</v>
      </c>
      <c r="F295">
        <v>21.17935366</v>
      </c>
      <c r="G295">
        <v>43.429000000000002</v>
      </c>
      <c r="H295">
        <f t="shared" si="66"/>
        <v>0.4876776729834903</v>
      </c>
      <c r="I295">
        <v>1008.005486</v>
      </c>
      <c r="J295">
        <f t="shared" si="67"/>
        <v>2066.950245708962</v>
      </c>
      <c r="K295" s="1">
        <v>8.7300000000000005E-7</v>
      </c>
      <c r="L295" s="1">
        <f t="shared" si="68"/>
        <v>93442.75242293367</v>
      </c>
      <c r="M295" s="1">
        <f t="shared" si="69"/>
        <v>818558511.22489893</v>
      </c>
      <c r="N295">
        <f t="shared" si="70"/>
        <v>1.585405754163333E+34</v>
      </c>
      <c r="O295">
        <v>2.0453163019999998</v>
      </c>
      <c r="P295" s="1">
        <f t="shared" si="71"/>
        <v>1.4814467737617878E+39</v>
      </c>
      <c r="Q295" s="1">
        <f t="shared" si="72"/>
        <v>7.2431182028577411E+38</v>
      </c>
    </row>
    <row r="296" spans="1:17" x14ac:dyDescent="0.2">
      <c r="A296">
        <f t="shared" si="73"/>
        <v>295</v>
      </c>
      <c r="B296">
        <f t="shared" si="75"/>
        <v>142.85714285714286</v>
      </c>
      <c r="C296">
        <f t="shared" si="74"/>
        <v>295000</v>
      </c>
      <c r="E296" t="s">
        <v>10</v>
      </c>
      <c r="F296">
        <v>21.236122349999999</v>
      </c>
      <c r="G296">
        <v>43.429000000000002</v>
      </c>
      <c r="H296">
        <f t="shared" si="66"/>
        <v>0.488984833866771</v>
      </c>
      <c r="I296">
        <v>532.04238750000002</v>
      </c>
      <c r="J296">
        <f t="shared" si="67"/>
        <v>1088.0549879077855</v>
      </c>
      <c r="K296" s="1">
        <v>8.6700000000000002E-7</v>
      </c>
      <c r="L296" s="1">
        <f t="shared" si="68"/>
        <v>94594.481590355004</v>
      </c>
      <c r="M296" s="1">
        <f t="shared" si="69"/>
        <v>828647658.7315098</v>
      </c>
      <c r="N296">
        <f t="shared" si="70"/>
        <v>1.0806942938460861E+18</v>
      </c>
      <c r="O296">
        <v>3.045164234</v>
      </c>
      <c r="P296" s="1">
        <f t="shared" si="71"/>
        <v>1.0222771648402531E+23</v>
      </c>
      <c r="Q296" s="1">
        <f t="shared" si="72"/>
        <v>3.3570510037727345E+22</v>
      </c>
    </row>
    <row r="297" spans="1:17" x14ac:dyDescent="0.2">
      <c r="A297">
        <f t="shared" si="73"/>
        <v>296</v>
      </c>
      <c r="B297">
        <f t="shared" si="75"/>
        <v>142.85714285714286</v>
      </c>
      <c r="C297">
        <f t="shared" si="74"/>
        <v>296000</v>
      </c>
      <c r="E297" t="s">
        <v>10</v>
      </c>
      <c r="F297">
        <v>20.321929699999998</v>
      </c>
      <c r="G297">
        <v>43.429000000000002</v>
      </c>
      <c r="H297">
        <f t="shared" si="66"/>
        <v>0.46793455294849057</v>
      </c>
      <c r="I297">
        <v>532.04238750000002</v>
      </c>
      <c r="J297">
        <f t="shared" si="67"/>
        <v>1137.0017113452323</v>
      </c>
      <c r="K297" s="1">
        <v>9.8200000000000008E-7</v>
      </c>
      <c r="L297" s="1">
        <f t="shared" si="68"/>
        <v>76480.877621369218</v>
      </c>
      <c r="M297" s="1">
        <f t="shared" si="69"/>
        <v>669972487.96319437</v>
      </c>
      <c r="N297">
        <f t="shared" si="70"/>
        <v>6.9511572830987878E+18</v>
      </c>
      <c r="O297">
        <v>5.155109489</v>
      </c>
      <c r="P297" s="1">
        <f t="shared" si="71"/>
        <v>5.3163060949556772E+23</v>
      </c>
      <c r="Q297" s="1">
        <f t="shared" si="72"/>
        <v>1.0312692885184378E+23</v>
      </c>
    </row>
    <row r="298" spans="1:17" x14ac:dyDescent="0.2">
      <c r="A298">
        <f t="shared" si="73"/>
        <v>297</v>
      </c>
      <c r="B298">
        <f t="shared" si="75"/>
        <v>142.85714285714286</v>
      </c>
      <c r="C298">
        <f t="shared" si="74"/>
        <v>297000</v>
      </c>
      <c r="E298" t="s">
        <v>10</v>
      </c>
      <c r="F298">
        <v>20.988069710000001</v>
      </c>
      <c r="G298">
        <v>43.429000000000002</v>
      </c>
      <c r="H298">
        <f t="shared" si="66"/>
        <v>0.48327315181100189</v>
      </c>
      <c r="I298">
        <v>446.95095679999997</v>
      </c>
      <c r="J298">
        <f t="shared" si="67"/>
        <v>924.841272735948</v>
      </c>
      <c r="K298" s="1">
        <v>8.9599999999999998E-7</v>
      </c>
      <c r="L298" s="1">
        <f t="shared" si="68"/>
        <v>89406.984560981611</v>
      </c>
      <c r="M298" s="1">
        <f t="shared" si="69"/>
        <v>783205184.75419891</v>
      </c>
      <c r="N298">
        <f t="shared" si="70"/>
        <v>2178869846014801.5</v>
      </c>
      <c r="O298">
        <v>1.2127433089999999</v>
      </c>
      <c r="P298" s="1">
        <f t="shared" si="71"/>
        <v>1.9480618268303373E+20</v>
      </c>
      <c r="Q298" s="1">
        <f t="shared" si="72"/>
        <v>1.6063265922585579E+20</v>
      </c>
    </row>
    <row r="299" spans="1:17" x14ac:dyDescent="0.2">
      <c r="A299">
        <f t="shared" si="73"/>
        <v>298</v>
      </c>
      <c r="B299">
        <f t="shared" si="75"/>
        <v>142.85714285714286</v>
      </c>
      <c r="C299">
        <f t="shared" si="74"/>
        <v>298000</v>
      </c>
      <c r="E299" t="s">
        <v>10</v>
      </c>
      <c r="F299">
        <v>21.340302560000001</v>
      </c>
      <c r="G299">
        <v>43.429000000000002</v>
      </c>
      <c r="H299">
        <f t="shared" si="66"/>
        <v>0.49138369660825715</v>
      </c>
      <c r="I299">
        <v>633.33369760000005</v>
      </c>
      <c r="J299">
        <f t="shared" si="67"/>
        <v>1288.8781251220648</v>
      </c>
      <c r="K299" s="1">
        <v>8.5499999999999997E-7</v>
      </c>
      <c r="L299" s="1">
        <f t="shared" si="68"/>
        <v>96865.581861159924</v>
      </c>
      <c r="M299" s="1">
        <f t="shared" si="69"/>
        <v>848542497.10376096</v>
      </c>
      <c r="N299">
        <f t="shared" si="70"/>
        <v>2.2402338572019489E+21</v>
      </c>
      <c r="O299">
        <v>1.2127433089999999</v>
      </c>
      <c r="P299" s="1">
        <f t="shared" si="71"/>
        <v>2.1700155608293742E+26</v>
      </c>
      <c r="Q299" s="1">
        <f t="shared" si="72"/>
        <v>1.789344492544526E+26</v>
      </c>
    </row>
    <row r="300" spans="1:17" x14ac:dyDescent="0.2">
      <c r="A300">
        <f t="shared" si="73"/>
        <v>299</v>
      </c>
      <c r="B300">
        <f t="shared" si="75"/>
        <v>142.85714285714286</v>
      </c>
      <c r="C300">
        <f t="shared" si="74"/>
        <v>299000</v>
      </c>
      <c r="E300" t="s">
        <v>10</v>
      </c>
      <c r="F300">
        <v>21.530678909999999</v>
      </c>
      <c r="G300">
        <v>43.429000000000002</v>
      </c>
      <c r="H300">
        <f t="shared" si="66"/>
        <v>0.49576731930277002</v>
      </c>
      <c r="I300">
        <v>532.04238750000002</v>
      </c>
      <c r="J300">
        <f t="shared" si="67"/>
        <v>1073.1695430191849</v>
      </c>
      <c r="K300" s="1">
        <v>8.3300000000000001E-7</v>
      </c>
      <c r="L300" s="1">
        <f t="shared" si="68"/>
        <v>101205.68495415196</v>
      </c>
      <c r="M300" s="1">
        <f t="shared" si="69"/>
        <v>886561800.19837117</v>
      </c>
      <c r="N300">
        <f t="shared" si="70"/>
        <v>6.1357831696204147E+17</v>
      </c>
      <c r="O300">
        <v>1.429440389</v>
      </c>
      <c r="P300" s="1">
        <f t="shared" si="71"/>
        <v>6.2097613841159162E+22</v>
      </c>
      <c r="Q300" s="1">
        <f t="shared" si="72"/>
        <v>4.3441905181230442E+22</v>
      </c>
    </row>
    <row r="301" spans="1:17" x14ac:dyDescent="0.2">
      <c r="A301">
        <f t="shared" si="73"/>
        <v>300</v>
      </c>
      <c r="B301">
        <f>3000/21</f>
        <v>142.85714285714286</v>
      </c>
      <c r="C301">
        <f t="shared" si="74"/>
        <v>300000</v>
      </c>
      <c r="E301" t="s">
        <v>10</v>
      </c>
      <c r="F301">
        <v>19.785114830000001</v>
      </c>
      <c r="G301">
        <v>43.429000000000002</v>
      </c>
      <c r="H301">
        <f t="shared" si="66"/>
        <v>0.4555738062124387</v>
      </c>
      <c r="I301">
        <v>597.59067030000006</v>
      </c>
      <c r="J301">
        <f t="shared" si="67"/>
        <v>1311.7318470705434</v>
      </c>
      <c r="K301" s="1">
        <v>1.06E-6</v>
      </c>
      <c r="L301" s="1">
        <f t="shared" si="68"/>
        <v>67159.235912323406</v>
      </c>
      <c r="M301" s="1">
        <f t="shared" si="69"/>
        <v>588314906.59195304</v>
      </c>
      <c r="N301">
        <f t="shared" si="70"/>
        <v>5.3422248523796253E+21</v>
      </c>
      <c r="O301">
        <v>1.5853102189999999</v>
      </c>
      <c r="P301" s="1">
        <f t="shared" si="71"/>
        <v>3.5877973915764032E+26</v>
      </c>
      <c r="Q301" s="1">
        <f t="shared" si="72"/>
        <v>2.2631516207847035E+26</v>
      </c>
    </row>
    <row r="302" spans="1:17" x14ac:dyDescent="0.2">
      <c r="A302">
        <f t="shared" si="73"/>
        <v>301</v>
      </c>
      <c r="B302">
        <f t="shared" ref="B302:B365" si="76">3000/21</f>
        <v>142.85714285714286</v>
      </c>
      <c r="C302">
        <f t="shared" si="74"/>
        <v>301000</v>
      </c>
      <c r="E302" t="s">
        <v>10</v>
      </c>
      <c r="F302">
        <v>19.865114299999998</v>
      </c>
      <c r="G302">
        <v>43.429000000000002</v>
      </c>
      <c r="H302">
        <f t="shared" si="66"/>
        <v>0.45741588109327863</v>
      </c>
      <c r="I302">
        <v>563.86484810000002</v>
      </c>
      <c r="J302">
        <f t="shared" si="67"/>
        <v>1232.7181267784049</v>
      </c>
      <c r="K302" s="1">
        <v>1.0499999999999999E-6</v>
      </c>
      <c r="L302" s="1">
        <f t="shared" si="68"/>
        <v>68348.234170271215</v>
      </c>
      <c r="M302" s="1">
        <f t="shared" si="69"/>
        <v>598730531.33157587</v>
      </c>
      <c r="N302">
        <f t="shared" si="70"/>
        <v>2.6473538530268755E+20</v>
      </c>
      <c r="O302">
        <v>1.4598540149999999</v>
      </c>
      <c r="P302" s="1">
        <f t="shared" si="71"/>
        <v>1.8094196107825065E+25</v>
      </c>
      <c r="Q302" s="1">
        <f t="shared" si="72"/>
        <v>1.2394524330451677E+25</v>
      </c>
    </row>
    <row r="303" spans="1:17" x14ac:dyDescent="0.2">
      <c r="A303">
        <f t="shared" si="73"/>
        <v>302</v>
      </c>
      <c r="B303">
        <f t="shared" si="76"/>
        <v>142.85714285714286</v>
      </c>
      <c r="C303">
        <f t="shared" si="74"/>
        <v>302000</v>
      </c>
      <c r="E303" t="s">
        <v>10</v>
      </c>
      <c r="F303">
        <v>19.867013549999999</v>
      </c>
      <c r="G303">
        <v>43.429000000000002</v>
      </c>
      <c r="H303">
        <f t="shared" si="66"/>
        <v>0.45745961339197305</v>
      </c>
      <c r="I303">
        <v>502.01586959999997</v>
      </c>
      <c r="J303">
        <f t="shared" si="67"/>
        <v>1097.3993220464886</v>
      </c>
      <c r="K303" s="1">
        <v>1.0499999999999999E-6</v>
      </c>
      <c r="L303" s="1">
        <f t="shared" si="68"/>
        <v>68361.303975679606</v>
      </c>
      <c r="M303" s="1">
        <f t="shared" si="69"/>
        <v>598845022.82695329</v>
      </c>
      <c r="N303">
        <f t="shared" si="70"/>
        <v>1.5417869612238223E+18</v>
      </c>
      <c r="O303">
        <v>0.97703771299999997</v>
      </c>
      <c r="P303" s="1">
        <f t="shared" si="71"/>
        <v>1.0539856712196107E+23</v>
      </c>
      <c r="Q303" s="1">
        <f t="shared" si="72"/>
        <v>1.0787563849335371E+23</v>
      </c>
    </row>
    <row r="304" spans="1:17" x14ac:dyDescent="0.2">
      <c r="A304">
        <f t="shared" si="73"/>
        <v>303</v>
      </c>
      <c r="B304">
        <f t="shared" si="76"/>
        <v>142.85714285714286</v>
      </c>
      <c r="C304">
        <f t="shared" si="74"/>
        <v>303000</v>
      </c>
      <c r="E304" t="s">
        <v>10</v>
      </c>
      <c r="F304">
        <v>21.397665530000001</v>
      </c>
      <c r="G304">
        <v>43.429000000000002</v>
      </c>
      <c r="H304">
        <f t="shared" si="66"/>
        <v>0.49270454143544634</v>
      </c>
      <c r="I304">
        <v>711.36119550000001</v>
      </c>
      <c r="J304">
        <f t="shared" si="67"/>
        <v>1443.7885906785414</v>
      </c>
      <c r="K304" s="1">
        <v>8.4799999999999997E-7</v>
      </c>
      <c r="L304" s="1">
        <f t="shared" si="68"/>
        <v>98190.935668433885</v>
      </c>
      <c r="M304" s="1">
        <f t="shared" si="69"/>
        <v>860152596.45548081</v>
      </c>
      <c r="N304">
        <f t="shared" si="70"/>
        <v>8.1028333756180556E+23</v>
      </c>
      <c r="O304">
        <v>2.9843369829999999</v>
      </c>
      <c r="P304" s="1">
        <f t="shared" si="71"/>
        <v>7.9562479071735154E+28</v>
      </c>
      <c r="Q304" s="1">
        <f t="shared" si="72"/>
        <v>2.6660018464722805E+28</v>
      </c>
    </row>
    <row r="305" spans="1:17" x14ac:dyDescent="0.2">
      <c r="A305">
        <f t="shared" si="73"/>
        <v>304</v>
      </c>
      <c r="B305">
        <f t="shared" si="76"/>
        <v>142.85714285714286</v>
      </c>
      <c r="C305">
        <f t="shared" si="74"/>
        <v>304000</v>
      </c>
      <c r="E305" t="s">
        <v>10</v>
      </c>
      <c r="F305">
        <v>19.555065079999999</v>
      </c>
      <c r="G305">
        <v>43.429000000000002</v>
      </c>
      <c r="H305">
        <f t="shared" si="66"/>
        <v>0.45027666029611546</v>
      </c>
      <c r="I305">
        <v>753.90905290000001</v>
      </c>
      <c r="J305">
        <f t="shared" si="67"/>
        <v>1674.3240753456037</v>
      </c>
      <c r="K305" s="1">
        <v>1.0899999999999999E-6</v>
      </c>
      <c r="L305" s="1">
        <f t="shared" si="68"/>
        <v>63800.854391693785</v>
      </c>
      <c r="M305" s="1">
        <f t="shared" si="69"/>
        <v>558895484.47123754</v>
      </c>
      <c r="N305">
        <f t="shared" si="70"/>
        <v>5.1990774859224036E+27</v>
      </c>
      <c r="O305">
        <v>1.7944038929999999</v>
      </c>
      <c r="P305" s="1">
        <f t="shared" si="71"/>
        <v>3.3170558565046866E+32</v>
      </c>
      <c r="Q305" s="1">
        <f t="shared" si="72"/>
        <v>1.8485558738724197E+32</v>
      </c>
    </row>
    <row r="306" spans="1:17" x14ac:dyDescent="0.2">
      <c r="A306">
        <f t="shared" si="73"/>
        <v>305</v>
      </c>
      <c r="B306">
        <f t="shared" si="76"/>
        <v>142.85714285714286</v>
      </c>
      <c r="C306">
        <f t="shared" si="74"/>
        <v>305000</v>
      </c>
      <c r="E306" t="s">
        <v>10</v>
      </c>
      <c r="F306">
        <v>19.856010980000001</v>
      </c>
      <c r="G306">
        <v>43.429000000000002</v>
      </c>
      <c r="H306">
        <f t="shared" si="66"/>
        <v>0.45720626724078378</v>
      </c>
      <c r="I306">
        <v>671.21458289999998</v>
      </c>
      <c r="J306">
        <f t="shared" si="67"/>
        <v>1468.0782635608766</v>
      </c>
      <c r="K306" s="1">
        <v>1.0499999999999999E-6</v>
      </c>
      <c r="L306" s="1">
        <f t="shared" si="68"/>
        <v>68285.606462722018</v>
      </c>
      <c r="M306" s="1">
        <f t="shared" si="69"/>
        <v>598181912.61344492</v>
      </c>
      <c r="N306">
        <f t="shared" si="70"/>
        <v>2.0407058946522058E+24</v>
      </c>
      <c r="O306">
        <v>1.448448905</v>
      </c>
      <c r="P306" s="1">
        <f t="shared" si="71"/>
        <v>1.3935083962837758E+29</v>
      </c>
      <c r="Q306" s="1">
        <f t="shared" si="72"/>
        <v>9.6206941886139629E+28</v>
      </c>
    </row>
    <row r="307" spans="1:17" x14ac:dyDescent="0.2">
      <c r="A307">
        <f t="shared" si="73"/>
        <v>306</v>
      </c>
      <c r="B307">
        <f t="shared" si="76"/>
        <v>142.85714285714286</v>
      </c>
      <c r="C307">
        <f t="shared" si="74"/>
        <v>306000</v>
      </c>
      <c r="E307" t="s">
        <v>10</v>
      </c>
      <c r="F307">
        <v>21.942499309999999</v>
      </c>
      <c r="G307">
        <v>43.429000000000002</v>
      </c>
      <c r="H307">
        <f t="shared" si="66"/>
        <v>0.50524993230329962</v>
      </c>
      <c r="I307">
        <v>633.33369760000005</v>
      </c>
      <c r="J307">
        <f t="shared" si="67"/>
        <v>1253.5057544942179</v>
      </c>
      <c r="K307" s="1">
        <v>7.8899999999999998E-7</v>
      </c>
      <c r="L307" s="1">
        <f t="shared" si="68"/>
        <v>110976.14762195651</v>
      </c>
      <c r="M307" s="1">
        <f t="shared" si="69"/>
        <v>972151053.16833901</v>
      </c>
      <c r="N307">
        <f t="shared" si="70"/>
        <v>5.8360538696664809E+20</v>
      </c>
      <c r="O307">
        <v>1.836222628</v>
      </c>
      <c r="P307" s="1">
        <f t="shared" si="71"/>
        <v>6.4766277576979788E+25</v>
      </c>
      <c r="Q307" s="1">
        <f t="shared" si="72"/>
        <v>3.5271473398366042E+25</v>
      </c>
    </row>
    <row r="308" spans="1:17" x14ac:dyDescent="0.2">
      <c r="A308">
        <f t="shared" si="73"/>
        <v>307</v>
      </c>
      <c r="B308">
        <f t="shared" si="76"/>
        <v>142.85714285714286</v>
      </c>
      <c r="C308">
        <f t="shared" si="74"/>
        <v>307000</v>
      </c>
      <c r="E308" t="s">
        <v>10</v>
      </c>
      <c r="F308">
        <v>20.38245714</v>
      </c>
      <c r="G308">
        <v>43.429000000000002</v>
      </c>
      <c r="H308">
        <f t="shared" si="66"/>
        <v>0.46932826314213999</v>
      </c>
      <c r="I308">
        <v>502.01586959999997</v>
      </c>
      <c r="J308">
        <f t="shared" si="67"/>
        <v>1069.6476411606182</v>
      </c>
      <c r="K308" s="1">
        <v>9.7399999999999991E-7</v>
      </c>
      <c r="L308" s="1">
        <f t="shared" si="68"/>
        <v>77569.0691728112</v>
      </c>
      <c r="M308" s="1">
        <f t="shared" si="69"/>
        <v>679505045.95382607</v>
      </c>
      <c r="N308">
        <f t="shared" si="70"/>
        <v>5.3666819485959603E+17</v>
      </c>
      <c r="O308">
        <v>5.0866788319999996</v>
      </c>
      <c r="P308" s="1">
        <f t="shared" si="71"/>
        <v>4.1628852329911721E+22</v>
      </c>
      <c r="Q308" s="1">
        <f t="shared" si="72"/>
        <v>8.1838963506064193E+21</v>
      </c>
    </row>
    <row r="309" spans="1:17" x14ac:dyDescent="0.2">
      <c r="A309">
        <f t="shared" si="73"/>
        <v>308</v>
      </c>
      <c r="B309">
        <f t="shared" si="76"/>
        <v>142.85714285714286</v>
      </c>
      <c r="C309">
        <f t="shared" si="74"/>
        <v>308000</v>
      </c>
      <c r="E309" t="s">
        <v>10</v>
      </c>
      <c r="F309">
        <v>19.84458059</v>
      </c>
      <c r="G309">
        <v>43.429000000000002</v>
      </c>
      <c r="H309">
        <f t="shared" si="66"/>
        <v>0.45694307006838747</v>
      </c>
      <c r="I309">
        <v>473.68393809999998</v>
      </c>
      <c r="J309">
        <f t="shared" si="67"/>
        <v>1036.636660293605</v>
      </c>
      <c r="K309" s="1">
        <v>1.0499999999999999E-6</v>
      </c>
      <c r="L309" s="1">
        <f t="shared" si="68"/>
        <v>68207.009965950943</v>
      </c>
      <c r="M309" s="1">
        <f t="shared" si="69"/>
        <v>597493407.30173028</v>
      </c>
      <c r="N309">
        <f t="shared" si="70"/>
        <v>1.5294317543771117E+17</v>
      </c>
      <c r="O309">
        <v>5.9268552310000002</v>
      </c>
      <c r="P309" s="1">
        <f t="shared" si="71"/>
        <v>1.043179669130415E+22</v>
      </c>
      <c r="Q309" s="1">
        <f t="shared" si="72"/>
        <v>1.7600896739878799E+21</v>
      </c>
    </row>
    <row r="310" spans="1:17" x14ac:dyDescent="0.2">
      <c r="A310">
        <f t="shared" si="73"/>
        <v>309</v>
      </c>
      <c r="B310">
        <f t="shared" si="76"/>
        <v>142.85714285714286</v>
      </c>
      <c r="C310">
        <f t="shared" si="74"/>
        <v>309000</v>
      </c>
      <c r="E310" t="s">
        <v>10</v>
      </c>
      <c r="F310">
        <v>20.674902410000001</v>
      </c>
      <c r="G310">
        <v>43.429000000000002</v>
      </c>
      <c r="H310">
        <f t="shared" si="66"/>
        <v>0.47606213382762669</v>
      </c>
      <c r="I310">
        <v>532.04238750000002</v>
      </c>
      <c r="J310">
        <f t="shared" si="67"/>
        <v>1117.5902255075023</v>
      </c>
      <c r="K310" s="1">
        <v>9.3500000000000005E-7</v>
      </c>
      <c r="L310" s="1">
        <f t="shared" si="68"/>
        <v>83139.955353719793</v>
      </c>
      <c r="M310" s="1">
        <f t="shared" si="69"/>
        <v>728306008.89858544</v>
      </c>
      <c r="N310">
        <f t="shared" si="70"/>
        <v>3.3225901708260111E+18</v>
      </c>
      <c r="O310">
        <v>1.5891119220000001</v>
      </c>
      <c r="P310" s="1">
        <f t="shared" si="71"/>
        <v>2.7623999846118277E+23</v>
      </c>
      <c r="Q310" s="1">
        <f t="shared" si="72"/>
        <v>1.7383294067388084E+23</v>
      </c>
    </row>
    <row r="311" spans="1:17" x14ac:dyDescent="0.2">
      <c r="A311">
        <f t="shared" si="73"/>
        <v>310</v>
      </c>
      <c r="B311">
        <f t="shared" si="76"/>
        <v>142.85714285714286</v>
      </c>
      <c r="C311">
        <f t="shared" si="74"/>
        <v>310000</v>
      </c>
      <c r="E311" t="s">
        <v>10</v>
      </c>
      <c r="F311">
        <v>21.738590519999999</v>
      </c>
      <c r="G311">
        <v>43.429000000000002</v>
      </c>
      <c r="H311">
        <f t="shared" si="66"/>
        <v>0.50055471044693634</v>
      </c>
      <c r="I311">
        <v>563.86484810000002</v>
      </c>
      <c r="J311">
        <f t="shared" si="67"/>
        <v>1126.4799558005061</v>
      </c>
      <c r="K311" s="1">
        <v>8.0999999999999997E-7</v>
      </c>
      <c r="L311" s="1">
        <f t="shared" si="68"/>
        <v>106099.22373538442</v>
      </c>
      <c r="M311" s="1">
        <f t="shared" si="69"/>
        <v>929429199.92196751</v>
      </c>
      <c r="N311">
        <f t="shared" si="70"/>
        <v>4.6589764138112461E+18</v>
      </c>
      <c r="O311">
        <v>1.482664234</v>
      </c>
      <c r="P311" s="1">
        <f t="shared" si="71"/>
        <v>4.9431378090683834E+23</v>
      </c>
      <c r="Q311" s="1">
        <f t="shared" si="72"/>
        <v>3.3339563305796877E+23</v>
      </c>
    </row>
    <row r="312" spans="1:17" x14ac:dyDescent="0.2">
      <c r="A312">
        <f t="shared" si="73"/>
        <v>311</v>
      </c>
      <c r="B312">
        <f t="shared" si="76"/>
        <v>142.85714285714286</v>
      </c>
      <c r="C312">
        <f t="shared" si="74"/>
        <v>311000</v>
      </c>
      <c r="E312" t="s">
        <v>10</v>
      </c>
      <c r="F312">
        <v>20.209833060000001</v>
      </c>
      <c r="G312">
        <v>43.429000000000002</v>
      </c>
      <c r="H312">
        <f t="shared" si="66"/>
        <v>0.46535340578875867</v>
      </c>
      <c r="I312">
        <v>2273.3479900000002</v>
      </c>
      <c r="J312">
        <f t="shared" si="67"/>
        <v>4885.2075900180644</v>
      </c>
      <c r="K312" s="1">
        <v>9.9699999999999994E-7</v>
      </c>
      <c r="L312" s="1">
        <f t="shared" si="68"/>
        <v>74501.455117115955</v>
      </c>
      <c r="M312" s="1">
        <f t="shared" si="69"/>
        <v>652632746.82593572</v>
      </c>
      <c r="N312">
        <f t="shared" si="70"/>
        <v>5.541275839371026E+80</v>
      </c>
      <c r="O312">
        <v>2.4406934310000001</v>
      </c>
      <c r="P312" s="1">
        <f t="shared" si="71"/>
        <v>4.1283311323845951E+85</v>
      </c>
      <c r="Q312" s="1">
        <f t="shared" si="72"/>
        <v>1.6914582880215057E+85</v>
      </c>
    </row>
    <row r="313" spans="1:17" x14ac:dyDescent="0.2">
      <c r="A313">
        <f t="shared" si="73"/>
        <v>312</v>
      </c>
      <c r="B313">
        <f t="shared" si="76"/>
        <v>142.85714285714286</v>
      </c>
      <c r="C313">
        <f t="shared" si="74"/>
        <v>312000</v>
      </c>
      <c r="E313" t="s">
        <v>10</v>
      </c>
      <c r="F313">
        <v>20.12112132</v>
      </c>
      <c r="G313">
        <v>43.429000000000002</v>
      </c>
      <c r="H313">
        <f t="shared" si="66"/>
        <v>0.46331072140735452</v>
      </c>
      <c r="I313">
        <v>397.92598170000002</v>
      </c>
      <c r="J313">
        <f t="shared" si="67"/>
        <v>858.87496946165732</v>
      </c>
      <c r="K313" s="1">
        <v>1.0100000000000001E-6</v>
      </c>
      <c r="L313" s="1">
        <f t="shared" si="68"/>
        <v>72898.307750350621</v>
      </c>
      <c r="M313" s="1">
        <f t="shared" si="69"/>
        <v>638589175.89307141</v>
      </c>
      <c r="N313">
        <f t="shared" si="70"/>
        <v>177336844644784.84</v>
      </c>
      <c r="O313">
        <v>1.9236618000000001</v>
      </c>
      <c r="P313" s="1">
        <f t="shared" si="71"/>
        <v>1.2927555876391643E+19</v>
      </c>
      <c r="Q313" s="1">
        <f t="shared" si="72"/>
        <v>6.7202851750716488E+18</v>
      </c>
    </row>
    <row r="314" spans="1:17" x14ac:dyDescent="0.2">
      <c r="A314">
        <f t="shared" si="73"/>
        <v>313</v>
      </c>
      <c r="B314">
        <f t="shared" si="76"/>
        <v>142.85714285714286</v>
      </c>
      <c r="C314">
        <f t="shared" si="74"/>
        <v>313000</v>
      </c>
      <c r="E314" t="s">
        <v>10</v>
      </c>
      <c r="F314">
        <v>21.444725680000001</v>
      </c>
      <c r="G314">
        <v>43.429000000000002</v>
      </c>
      <c r="H314">
        <f t="shared" si="66"/>
        <v>0.49378815261691494</v>
      </c>
      <c r="I314">
        <v>473.68393809999998</v>
      </c>
      <c r="J314">
        <f t="shared" si="67"/>
        <v>959.28574954589487</v>
      </c>
      <c r="K314" s="1">
        <v>8.4300000000000002E-7</v>
      </c>
      <c r="L314" s="1">
        <f t="shared" si="68"/>
        <v>99208.270112734535</v>
      </c>
      <c r="M314" s="1">
        <f t="shared" si="69"/>
        <v>869064446.18755448</v>
      </c>
      <c r="N314">
        <f t="shared" si="70"/>
        <v>8073859794203128</v>
      </c>
      <c r="O314">
        <v>2.3798661800000001</v>
      </c>
      <c r="P314" s="1">
        <f t="shared" si="71"/>
        <v>8.009936633156512E+20</v>
      </c>
      <c r="Q314" s="1">
        <f t="shared" si="72"/>
        <v>3.3657088371063416E+20</v>
      </c>
    </row>
    <row r="315" spans="1:17" x14ac:dyDescent="0.2">
      <c r="A315">
        <f t="shared" si="73"/>
        <v>314</v>
      </c>
      <c r="B315">
        <f t="shared" si="76"/>
        <v>142.85714285714286</v>
      </c>
      <c r="C315">
        <f t="shared" si="74"/>
        <v>314000</v>
      </c>
      <c r="E315" t="s">
        <v>10</v>
      </c>
      <c r="F315">
        <v>21.09089213</v>
      </c>
      <c r="G315">
        <v>43.429000000000002</v>
      </c>
      <c r="H315">
        <f t="shared" si="66"/>
        <v>0.48564074995970435</v>
      </c>
      <c r="I315">
        <v>563.86484810000002</v>
      </c>
      <c r="J315">
        <f t="shared" si="67"/>
        <v>1161.0739999614659</v>
      </c>
      <c r="K315" s="1">
        <v>8.8400000000000003E-7</v>
      </c>
      <c r="L315" s="1">
        <f t="shared" si="68"/>
        <v>91510.746313742609</v>
      </c>
      <c r="M315" s="1">
        <f t="shared" si="69"/>
        <v>801634137.70838523</v>
      </c>
      <c r="N315">
        <f t="shared" si="70"/>
        <v>1.7362430838476784E+19</v>
      </c>
      <c r="O315">
        <v>2.9577250610000001</v>
      </c>
      <c r="P315" s="1">
        <f t="shared" si="71"/>
        <v>1.5888490038497503E+24</v>
      </c>
      <c r="Q315" s="1">
        <f t="shared" si="72"/>
        <v>5.3718617216995961E+23</v>
      </c>
    </row>
    <row r="316" spans="1:17" x14ac:dyDescent="0.2">
      <c r="A316">
        <f t="shared" si="73"/>
        <v>315</v>
      </c>
      <c r="B316">
        <f t="shared" si="76"/>
        <v>142.85714285714286</v>
      </c>
      <c r="C316">
        <f t="shared" si="74"/>
        <v>315000</v>
      </c>
      <c r="E316" t="s">
        <v>10</v>
      </c>
      <c r="F316">
        <v>20.7052288</v>
      </c>
      <c r="G316">
        <v>43.429000000000002</v>
      </c>
      <c r="H316">
        <f t="shared" si="66"/>
        <v>0.47676043196942136</v>
      </c>
      <c r="I316">
        <v>597.59067030000006</v>
      </c>
      <c r="J316">
        <f t="shared" si="67"/>
        <v>1253.4401561628097</v>
      </c>
      <c r="K316" s="1">
        <v>9.3099999999999996E-7</v>
      </c>
      <c r="L316" s="1">
        <f t="shared" si="68"/>
        <v>83742.292970614988</v>
      </c>
      <c r="M316" s="1">
        <f t="shared" si="69"/>
        <v>733582486.42258728</v>
      </c>
      <c r="N316">
        <f t="shared" si="70"/>
        <v>5.8215138727915979E+20</v>
      </c>
      <c r="O316">
        <v>3.2086374700000002</v>
      </c>
      <c r="P316" s="1">
        <f t="shared" si="71"/>
        <v>4.8750692026781342E+25</v>
      </c>
      <c r="Q316" s="1">
        <f t="shared" si="72"/>
        <v>1.5193580603165287E+25</v>
      </c>
    </row>
    <row r="317" spans="1:17" x14ac:dyDescent="0.2">
      <c r="A317">
        <f t="shared" si="73"/>
        <v>316</v>
      </c>
      <c r="B317">
        <f t="shared" si="76"/>
        <v>142.85714285714286</v>
      </c>
      <c r="C317">
        <f t="shared" si="74"/>
        <v>316000</v>
      </c>
      <c r="E317" t="s">
        <v>10</v>
      </c>
      <c r="F317">
        <v>19.766802640000002</v>
      </c>
      <c r="G317">
        <v>43.429000000000002</v>
      </c>
      <c r="H317">
        <f t="shared" si="66"/>
        <v>0.45515214810380161</v>
      </c>
      <c r="I317">
        <v>473.68393809999998</v>
      </c>
      <c r="J317">
        <f t="shared" si="67"/>
        <v>1040.7155938369251</v>
      </c>
      <c r="K317" s="1">
        <v>1.06E-6</v>
      </c>
      <c r="L317" s="1">
        <f t="shared" si="68"/>
        <v>67034.974460153011</v>
      </c>
      <c r="M317" s="1">
        <f t="shared" si="69"/>
        <v>587226376.27094042</v>
      </c>
      <c r="N317">
        <f t="shared" si="70"/>
        <v>1.7860500175246794E+17</v>
      </c>
      <c r="O317">
        <v>1.5206812649999999</v>
      </c>
      <c r="P317" s="1">
        <f t="shared" si="71"/>
        <v>1.1972781730932271E+22</v>
      </c>
      <c r="Q317" s="1">
        <f t="shared" si="72"/>
        <v>7.8733012673318313E+21</v>
      </c>
    </row>
    <row r="318" spans="1:17" x14ac:dyDescent="0.2">
      <c r="A318">
        <f t="shared" si="73"/>
        <v>317</v>
      </c>
      <c r="B318">
        <f t="shared" si="76"/>
        <v>142.85714285714286</v>
      </c>
      <c r="C318">
        <f t="shared" si="74"/>
        <v>317000</v>
      </c>
      <c r="E318" t="s">
        <v>10</v>
      </c>
      <c r="F318">
        <v>21.291580329999999</v>
      </c>
      <c r="G318">
        <v>43.429000000000002</v>
      </c>
      <c r="H318">
        <f t="shared" si="66"/>
        <v>0.49026181422551746</v>
      </c>
      <c r="I318">
        <v>532.04238750000002</v>
      </c>
      <c r="J318">
        <f t="shared" si="67"/>
        <v>1085.2209412647908</v>
      </c>
      <c r="K318" s="1">
        <v>8.6000000000000002E-7</v>
      </c>
      <c r="L318" s="1">
        <f t="shared" si="68"/>
        <v>95863.174122418204</v>
      </c>
      <c r="M318" s="1">
        <f t="shared" si="69"/>
        <v>839761405.31238341</v>
      </c>
      <c r="N318">
        <f t="shared" si="70"/>
        <v>9.7028346184507008E+17</v>
      </c>
      <c r="O318">
        <v>1.516879562</v>
      </c>
      <c r="P318" s="1">
        <f t="shared" si="71"/>
        <v>9.3014452450956667E+22</v>
      </c>
      <c r="Q318" s="1">
        <f t="shared" si="72"/>
        <v>6.131960294086728E+22</v>
      </c>
    </row>
    <row r="319" spans="1:17" x14ac:dyDescent="0.2">
      <c r="A319">
        <f t="shared" si="73"/>
        <v>318</v>
      </c>
      <c r="B319">
        <f t="shared" si="76"/>
        <v>142.85714285714286</v>
      </c>
      <c r="C319">
        <f t="shared" si="74"/>
        <v>318000</v>
      </c>
      <c r="E319" t="s">
        <v>10</v>
      </c>
      <c r="F319">
        <v>21.127405570000001</v>
      </c>
      <c r="G319">
        <v>43.429000000000002</v>
      </c>
      <c r="H319">
        <f t="shared" si="66"/>
        <v>0.48648151166271386</v>
      </c>
      <c r="I319">
        <v>532.04238750000002</v>
      </c>
      <c r="J319">
        <f t="shared" si="67"/>
        <v>1093.6538691502717</v>
      </c>
      <c r="K319" s="1">
        <v>8.8000000000000004E-7</v>
      </c>
      <c r="L319" s="1">
        <f t="shared" si="68"/>
        <v>92245.274531870731</v>
      </c>
      <c r="M319" s="1">
        <f t="shared" si="69"/>
        <v>808068604.89918756</v>
      </c>
      <c r="N319">
        <f t="shared" si="70"/>
        <v>1.3371135237942671E+18</v>
      </c>
      <c r="O319">
        <v>2.3114355230000001</v>
      </c>
      <c r="P319" s="1">
        <f t="shared" si="71"/>
        <v>1.2334240408267923E+23</v>
      </c>
      <c r="Q319" s="1">
        <f t="shared" si="72"/>
        <v>5.3361819032093863E+22</v>
      </c>
    </row>
    <row r="320" spans="1:17" x14ac:dyDescent="0.2">
      <c r="A320">
        <f t="shared" si="73"/>
        <v>319</v>
      </c>
      <c r="B320">
        <f t="shared" si="76"/>
        <v>142.85714285714286</v>
      </c>
      <c r="C320">
        <f t="shared" si="74"/>
        <v>319000</v>
      </c>
      <c r="E320" t="s">
        <v>10</v>
      </c>
      <c r="F320">
        <v>21.007962150000001</v>
      </c>
      <c r="G320">
        <v>43.429000000000002</v>
      </c>
      <c r="H320">
        <f t="shared" si="66"/>
        <v>0.48373119689608324</v>
      </c>
      <c r="I320">
        <v>473.68393809999998</v>
      </c>
      <c r="J320">
        <f t="shared" si="67"/>
        <v>979.22966544115275</v>
      </c>
      <c r="K320" s="1">
        <v>8.9400000000000004E-7</v>
      </c>
      <c r="L320" s="1">
        <f t="shared" si="68"/>
        <v>89776.93926367721</v>
      </c>
      <c r="M320" s="1">
        <f t="shared" si="69"/>
        <v>786445987.94981241</v>
      </c>
      <c r="N320">
        <f t="shared" si="70"/>
        <v>1.7236719556130614E+16</v>
      </c>
      <c r="O320">
        <v>4.0526155719999997</v>
      </c>
      <c r="P320" s="1">
        <f t="shared" si="71"/>
        <v>1.5474599246957754E+21</v>
      </c>
      <c r="Q320" s="1">
        <f t="shared" si="72"/>
        <v>3.818422688269174E+20</v>
      </c>
    </row>
    <row r="321" spans="1:17" x14ac:dyDescent="0.2">
      <c r="A321">
        <f t="shared" si="73"/>
        <v>320</v>
      </c>
      <c r="B321">
        <f t="shared" si="76"/>
        <v>142.85714285714286</v>
      </c>
      <c r="C321">
        <f t="shared" si="74"/>
        <v>320000</v>
      </c>
      <c r="E321" t="s">
        <v>10</v>
      </c>
      <c r="F321">
        <v>19.570521329999998</v>
      </c>
      <c r="G321">
        <v>43.429000000000002</v>
      </c>
      <c r="H321">
        <f t="shared" si="66"/>
        <v>0.45063255727739521</v>
      </c>
      <c r="I321">
        <v>1700.2860149999999</v>
      </c>
      <c r="J321">
        <f t="shared" si="67"/>
        <v>3773.10957129393</v>
      </c>
      <c r="K321" s="1">
        <v>1.0899999999999999E-6</v>
      </c>
      <c r="L321" s="1">
        <f t="shared" si="68"/>
        <v>63901.75016117355</v>
      </c>
      <c r="M321" s="1">
        <f t="shared" si="69"/>
        <v>559779331.41188025</v>
      </c>
      <c r="N321">
        <f t="shared" si="70"/>
        <v>2.3841358457569666E+62</v>
      </c>
      <c r="O321">
        <v>4.7559306570000004</v>
      </c>
      <c r="P321" s="1">
        <f t="shared" si="71"/>
        <v>1.5235045316585987E+67</v>
      </c>
      <c r="Q321" s="1">
        <f t="shared" si="72"/>
        <v>3.2033783533328725E+66</v>
      </c>
    </row>
    <row r="322" spans="1:17" x14ac:dyDescent="0.2">
      <c r="A322">
        <f t="shared" si="73"/>
        <v>321</v>
      </c>
      <c r="B322">
        <f t="shared" si="76"/>
        <v>142.85714285714286</v>
      </c>
      <c r="C322">
        <f t="shared" si="74"/>
        <v>321000</v>
      </c>
      <c r="E322" t="s">
        <v>10</v>
      </c>
      <c r="F322">
        <v>19.54905913</v>
      </c>
      <c r="G322">
        <v>43.429000000000002</v>
      </c>
      <c r="H322">
        <f t="shared" si="66"/>
        <v>0.45013836675953856</v>
      </c>
      <c r="I322">
        <v>563.86484810000002</v>
      </c>
      <c r="J322">
        <f t="shared" si="67"/>
        <v>1252.6478295088618</v>
      </c>
      <c r="K322" s="1">
        <v>1.0899999999999999E-6</v>
      </c>
      <c r="L322" s="1">
        <f t="shared" si="68"/>
        <v>63761.670078466137</v>
      </c>
      <c r="M322" s="1">
        <f t="shared" si="69"/>
        <v>558552229.88736331</v>
      </c>
      <c r="N322">
        <f t="shared" si="70"/>
        <v>5.6487281741692777E+20</v>
      </c>
      <c r="O322">
        <v>4.1590632599999999</v>
      </c>
      <c r="P322" s="1">
        <f t="shared" si="71"/>
        <v>3.601723422043179E+25</v>
      </c>
      <c r="Q322" s="1">
        <f t="shared" si="72"/>
        <v>8.6599390220459862E+24</v>
      </c>
    </row>
    <row r="323" spans="1:17" x14ac:dyDescent="0.2">
      <c r="A323">
        <f t="shared" si="73"/>
        <v>322</v>
      </c>
      <c r="B323">
        <f t="shared" si="76"/>
        <v>142.85714285714286</v>
      </c>
      <c r="C323">
        <f t="shared" si="74"/>
        <v>322000</v>
      </c>
      <c r="E323" t="s">
        <v>10</v>
      </c>
      <c r="F323">
        <v>19.552458680000001</v>
      </c>
      <c r="G323">
        <v>43.429000000000002</v>
      </c>
      <c r="H323">
        <f t="shared" ref="H323:H386" si="77">F323/43.429</f>
        <v>0.45021664509889703</v>
      </c>
      <c r="I323">
        <v>633.33369760000005</v>
      </c>
      <c r="J323">
        <f t="shared" ref="J323:J386" si="78">I323/H323</f>
        <v>1406.7309694000287</v>
      </c>
      <c r="K323" s="1">
        <v>1.0899999999999999E-6</v>
      </c>
      <c r="L323" s="1">
        <f t="shared" ref="L323:L386" si="79">((H323^2)*0.343)/(K323)</f>
        <v>63783.848110796738</v>
      </c>
      <c r="M323" s="1">
        <f t="shared" ref="M323:M386" si="80">L323*8760</f>
        <v>558746509.4505794</v>
      </c>
      <c r="N323">
        <f t="shared" ref="N323:N386" si="81">EXP((J323+3.9052)/(26.297))</f>
        <v>1.9798439443302241E+23</v>
      </c>
      <c r="O323">
        <v>3.5507907539999999</v>
      </c>
      <c r="P323" s="1">
        <f t="shared" ref="P323:P386" si="82">L323*N323</f>
        <v>1.2628206542823973E+28</v>
      </c>
      <c r="Q323" s="1">
        <f t="shared" ref="Q323:Q386" si="83">P323/O323</f>
        <v>3.556449089149558E+27</v>
      </c>
    </row>
    <row r="324" spans="1:17" x14ac:dyDescent="0.2">
      <c r="A324">
        <f t="shared" ref="A324:A387" si="84">A323+1</f>
        <v>323</v>
      </c>
      <c r="B324">
        <f t="shared" si="76"/>
        <v>142.85714285714286</v>
      </c>
      <c r="C324">
        <f t="shared" ref="C324:C387" si="85">C323+1000</f>
        <v>323000</v>
      </c>
      <c r="E324" t="s">
        <v>10</v>
      </c>
      <c r="F324">
        <v>19.3340432</v>
      </c>
      <c r="G324">
        <v>43.429000000000002</v>
      </c>
      <c r="H324">
        <f t="shared" si="77"/>
        <v>0.44518739091390541</v>
      </c>
      <c r="I324">
        <v>532.04238750000002</v>
      </c>
      <c r="J324">
        <f t="shared" si="78"/>
        <v>1195.0976113851605</v>
      </c>
      <c r="K324" s="1">
        <v>1.13E-6</v>
      </c>
      <c r="L324" s="1">
        <f t="shared" si="79"/>
        <v>60159.107848543841</v>
      </c>
      <c r="M324" s="1">
        <f t="shared" si="80"/>
        <v>526993784.75324404</v>
      </c>
      <c r="N324">
        <f t="shared" si="81"/>
        <v>6.3315473540684407E+19</v>
      </c>
      <c r="O324">
        <v>2.6041666669999999</v>
      </c>
      <c r="P324" s="1">
        <f t="shared" si="82"/>
        <v>3.8090024012156569E+24</v>
      </c>
      <c r="Q324" s="1">
        <f t="shared" si="83"/>
        <v>1.4626569218795923E+24</v>
      </c>
    </row>
    <row r="325" spans="1:17" x14ac:dyDescent="0.2">
      <c r="A325">
        <f t="shared" si="84"/>
        <v>324</v>
      </c>
      <c r="B325">
        <f t="shared" si="76"/>
        <v>142.85714285714286</v>
      </c>
      <c r="C325">
        <f t="shared" si="85"/>
        <v>324000</v>
      </c>
      <c r="E325" t="s">
        <v>10</v>
      </c>
      <c r="F325">
        <v>19.230896730000001</v>
      </c>
      <c r="G325">
        <v>43.429000000000002</v>
      </c>
      <c r="H325">
        <f t="shared" si="77"/>
        <v>0.44281233116120566</v>
      </c>
      <c r="I325">
        <v>421.72668670000002</v>
      </c>
      <c r="J325">
        <f t="shared" si="78"/>
        <v>952.38243613064731</v>
      </c>
      <c r="K325" s="1">
        <v>1.1400000000000001E-6</v>
      </c>
      <c r="L325" s="1">
        <f t="shared" si="79"/>
        <v>58996.830610130266</v>
      </c>
      <c r="M325" s="1">
        <f t="shared" si="80"/>
        <v>516812236.14474112</v>
      </c>
      <c r="N325">
        <f t="shared" si="81"/>
        <v>6209735564764857</v>
      </c>
      <c r="O325">
        <v>2.208789538</v>
      </c>
      <c r="P325" s="1">
        <f t="shared" si="82"/>
        <v>3.6635471724813386E+20</v>
      </c>
      <c r="Q325" s="1">
        <f t="shared" si="83"/>
        <v>1.658622113811071E+20</v>
      </c>
    </row>
    <row r="326" spans="1:17" x14ac:dyDescent="0.2">
      <c r="A326">
        <f t="shared" si="84"/>
        <v>325</v>
      </c>
      <c r="B326">
        <f t="shared" si="76"/>
        <v>142.85714285714286</v>
      </c>
      <c r="C326">
        <f t="shared" si="85"/>
        <v>325000</v>
      </c>
      <c r="E326" t="s">
        <v>10</v>
      </c>
      <c r="F326">
        <v>19.286580919999999</v>
      </c>
      <c r="G326">
        <v>43.429000000000002</v>
      </c>
      <c r="H326">
        <f t="shared" si="77"/>
        <v>0.44409452025144486</v>
      </c>
      <c r="I326">
        <v>4307.0764639999998</v>
      </c>
      <c r="J326">
        <f t="shared" si="78"/>
        <v>9698.5580041864669</v>
      </c>
      <c r="K326" s="1">
        <v>1.1400000000000001E-6</v>
      </c>
      <c r="L326" s="1">
        <f t="shared" si="79"/>
        <v>59338.982825135798</v>
      </c>
      <c r="M326" s="1">
        <f t="shared" si="80"/>
        <v>519809489.54818958</v>
      </c>
      <c r="N326">
        <f t="shared" si="81"/>
        <v>1.7218894485839284E+160</v>
      </c>
      <c r="O326">
        <v>1.5625</v>
      </c>
      <c r="P326" s="1">
        <f t="shared" si="82"/>
        <v>1.0217516841630428E+165</v>
      </c>
      <c r="Q326" s="1">
        <f t="shared" si="83"/>
        <v>6.5392107786434739E+164</v>
      </c>
    </row>
    <row r="327" spans="1:17" x14ac:dyDescent="0.2">
      <c r="A327">
        <f t="shared" si="84"/>
        <v>326</v>
      </c>
      <c r="B327">
        <f t="shared" si="76"/>
        <v>142.85714285714286</v>
      </c>
      <c r="C327">
        <f t="shared" si="85"/>
        <v>326000</v>
      </c>
      <c r="E327" t="s">
        <v>10</v>
      </c>
      <c r="F327">
        <v>19.534230170000001</v>
      </c>
      <c r="G327">
        <v>43.429000000000002</v>
      </c>
      <c r="H327">
        <f t="shared" si="77"/>
        <v>0.44979691381335052</v>
      </c>
      <c r="I327">
        <v>532.04238750000002</v>
      </c>
      <c r="J327">
        <f t="shared" si="78"/>
        <v>1182.8502400991981</v>
      </c>
      <c r="K327" s="1">
        <v>1.1000000000000001E-6</v>
      </c>
      <c r="L327" s="1">
        <f t="shared" si="79"/>
        <v>63086.201309884578</v>
      </c>
      <c r="M327" s="1">
        <f t="shared" si="80"/>
        <v>552635123.47458887</v>
      </c>
      <c r="N327">
        <f t="shared" si="81"/>
        <v>3.9741544640410976E+19</v>
      </c>
      <c r="O327">
        <v>1.2127433089999999</v>
      </c>
      <c r="P327" s="1">
        <f t="shared" si="82"/>
        <v>2.5071430855507313E+24</v>
      </c>
      <c r="Q327" s="1">
        <f t="shared" si="83"/>
        <v>2.0673320289172021E+24</v>
      </c>
    </row>
    <row r="328" spans="1:17" x14ac:dyDescent="0.2">
      <c r="A328">
        <f t="shared" si="84"/>
        <v>327</v>
      </c>
      <c r="B328">
        <f>3000/21</f>
        <v>142.85714285714286</v>
      </c>
      <c r="C328">
        <f t="shared" si="85"/>
        <v>327000</v>
      </c>
      <c r="E328" t="s">
        <v>10</v>
      </c>
      <c r="F328">
        <v>20.190661070000001</v>
      </c>
      <c r="G328">
        <v>43.429000000000002</v>
      </c>
      <c r="H328">
        <f t="shared" si="77"/>
        <v>0.46491194984917911</v>
      </c>
      <c r="I328">
        <v>633.33369760000005</v>
      </c>
      <c r="J328">
        <f t="shared" si="78"/>
        <v>1362.2659039103173</v>
      </c>
      <c r="K328" s="1">
        <v>9.9999999999999995E-7</v>
      </c>
      <c r="L328" s="1">
        <f t="shared" si="79"/>
        <v>74137.090541610014</v>
      </c>
      <c r="M328" s="1">
        <f t="shared" si="80"/>
        <v>649440913.14450371</v>
      </c>
      <c r="N328">
        <f t="shared" si="81"/>
        <v>3.6499860359861699E+22</v>
      </c>
      <c r="O328">
        <v>1.817214112</v>
      </c>
      <c r="P328" s="1">
        <f t="shared" si="82"/>
        <v>2.7059934522551888E+27</v>
      </c>
      <c r="Q328" s="1">
        <f t="shared" si="83"/>
        <v>1.4890889490600593E+27</v>
      </c>
    </row>
    <row r="329" spans="1:17" x14ac:dyDescent="0.2">
      <c r="A329">
        <f t="shared" si="84"/>
        <v>328</v>
      </c>
      <c r="B329">
        <f t="shared" si="76"/>
        <v>142.85714285714286</v>
      </c>
      <c r="C329">
        <f t="shared" si="85"/>
        <v>328000</v>
      </c>
      <c r="E329" t="s">
        <v>10</v>
      </c>
      <c r="F329">
        <v>20.28252492</v>
      </c>
      <c r="G329">
        <v>43.429000000000002</v>
      </c>
      <c r="H329">
        <f t="shared" si="77"/>
        <v>0.46702721499458882</v>
      </c>
      <c r="I329">
        <v>711.36119550000001</v>
      </c>
      <c r="J329">
        <f t="shared" si="78"/>
        <v>1523.1686134356048</v>
      </c>
      <c r="K329" s="1">
        <v>9.8700000000000004E-7</v>
      </c>
      <c r="L329" s="1">
        <f t="shared" si="79"/>
        <v>75798.628069038954</v>
      </c>
      <c r="M329" s="1">
        <f t="shared" si="80"/>
        <v>663995981.88478124</v>
      </c>
      <c r="N329">
        <f t="shared" si="81"/>
        <v>1.6580459267133859E+25</v>
      </c>
      <c r="O329">
        <v>2.5395377130000001</v>
      </c>
      <c r="P329" s="1">
        <f t="shared" si="82"/>
        <v>1.2567760652033296E+30</v>
      </c>
      <c r="Q329" s="1">
        <f t="shared" si="83"/>
        <v>4.9488379667285119E+29</v>
      </c>
    </row>
    <row r="330" spans="1:17" x14ac:dyDescent="0.2">
      <c r="A330">
        <f t="shared" si="84"/>
        <v>329</v>
      </c>
      <c r="B330">
        <f t="shared" si="76"/>
        <v>142.85714285714286</v>
      </c>
      <c r="C330">
        <f t="shared" si="85"/>
        <v>329000</v>
      </c>
      <c r="E330" t="s">
        <v>10</v>
      </c>
      <c r="F330">
        <v>19.322865520000001</v>
      </c>
      <c r="G330">
        <v>43.429000000000002</v>
      </c>
      <c r="H330">
        <f t="shared" si="77"/>
        <v>0.44493001266434867</v>
      </c>
      <c r="I330">
        <v>2409.32123</v>
      </c>
      <c r="J330">
        <f t="shared" si="78"/>
        <v>5415.0566637939328</v>
      </c>
      <c r="K330" s="1">
        <v>1.13E-6</v>
      </c>
      <c r="L330" s="1">
        <f t="shared" si="79"/>
        <v>60089.567828440398</v>
      </c>
      <c r="M330" s="1">
        <f t="shared" si="80"/>
        <v>526384614.17713791</v>
      </c>
      <c r="N330">
        <f t="shared" si="81"/>
        <v>3.119303917199532E+89</v>
      </c>
      <c r="O330">
        <v>5.2615571780000003</v>
      </c>
      <c r="P330" s="1">
        <f t="shared" si="82"/>
        <v>1.8743762431008112E+94</v>
      </c>
      <c r="Q330" s="1">
        <f t="shared" si="83"/>
        <v>3.5623983161070402E+93</v>
      </c>
    </row>
    <row r="331" spans="1:17" x14ac:dyDescent="0.2">
      <c r="A331">
        <f t="shared" si="84"/>
        <v>330</v>
      </c>
      <c r="B331">
        <f t="shared" si="76"/>
        <v>142.85714285714286</v>
      </c>
      <c r="C331">
        <f t="shared" si="85"/>
        <v>330000</v>
      </c>
      <c r="E331" t="s">
        <v>10</v>
      </c>
      <c r="F331">
        <v>19.471727640000001</v>
      </c>
      <c r="G331">
        <v>43.429000000000002</v>
      </c>
      <c r="H331">
        <f t="shared" si="77"/>
        <v>0.44835772502245042</v>
      </c>
      <c r="I331">
        <v>1513.7857329999999</v>
      </c>
      <c r="J331">
        <f t="shared" si="78"/>
        <v>3376.2900659829174</v>
      </c>
      <c r="K331" s="1">
        <v>1.11E-6</v>
      </c>
      <c r="L331" s="1">
        <f t="shared" si="79"/>
        <v>62118.427755357108</v>
      </c>
      <c r="M331" s="1">
        <f t="shared" si="80"/>
        <v>544157427.13692832</v>
      </c>
      <c r="N331">
        <f t="shared" si="81"/>
        <v>6.6659799988167924E+55</v>
      </c>
      <c r="O331">
        <v>4.7179136250000004</v>
      </c>
      <c r="P331" s="1">
        <f t="shared" si="82"/>
        <v>4.1408019697515638E+60</v>
      </c>
      <c r="Q331" s="1">
        <f t="shared" si="83"/>
        <v>8.7767651103437978E+59</v>
      </c>
    </row>
    <row r="332" spans="1:17" x14ac:dyDescent="0.2">
      <c r="A332">
        <f t="shared" si="84"/>
        <v>331</v>
      </c>
      <c r="B332">
        <f t="shared" si="76"/>
        <v>142.85714285714286</v>
      </c>
      <c r="C332">
        <f t="shared" si="85"/>
        <v>331000</v>
      </c>
      <c r="E332" t="s">
        <v>10</v>
      </c>
      <c r="F332">
        <v>19.459596959999999</v>
      </c>
      <c r="G332">
        <v>43.429000000000002</v>
      </c>
      <c r="H332">
        <f t="shared" si="77"/>
        <v>0.44807840291049755</v>
      </c>
      <c r="I332">
        <v>597.59067030000006</v>
      </c>
      <c r="J332">
        <f t="shared" si="78"/>
        <v>1333.6743445306538</v>
      </c>
      <c r="K332" s="1">
        <v>1.11E-6</v>
      </c>
      <c r="L332" s="1">
        <f t="shared" si="79"/>
        <v>62041.053619913531</v>
      </c>
      <c r="M332" s="1">
        <f t="shared" si="80"/>
        <v>543479629.71044254</v>
      </c>
      <c r="N332">
        <f t="shared" si="81"/>
        <v>1.2305580736932487E+22</v>
      </c>
      <c r="O332">
        <v>4.3035279810000002</v>
      </c>
      <c r="P332" s="1">
        <f t="shared" si="82"/>
        <v>7.6345119432420353E+26</v>
      </c>
      <c r="Q332" s="1">
        <f t="shared" si="83"/>
        <v>1.7740123863370403E+26</v>
      </c>
    </row>
    <row r="333" spans="1:17" x14ac:dyDescent="0.2">
      <c r="A333">
        <f t="shared" si="84"/>
        <v>332</v>
      </c>
      <c r="B333">
        <f t="shared" si="76"/>
        <v>142.85714285714286</v>
      </c>
      <c r="C333">
        <f t="shared" si="85"/>
        <v>332000</v>
      </c>
      <c r="E333" t="s">
        <v>10</v>
      </c>
      <c r="F333">
        <v>19.091213880000002</v>
      </c>
      <c r="G333">
        <v>43.429000000000002</v>
      </c>
      <c r="H333">
        <f t="shared" si="77"/>
        <v>0.43959598148702483</v>
      </c>
      <c r="I333">
        <v>532.04238750000002</v>
      </c>
      <c r="J333">
        <f t="shared" si="78"/>
        <v>1210.2985693824041</v>
      </c>
      <c r="K333" s="1">
        <v>1.17E-6</v>
      </c>
      <c r="L333" s="1">
        <f t="shared" si="79"/>
        <v>56652.057299369611</v>
      </c>
      <c r="M333" s="1">
        <f t="shared" si="80"/>
        <v>496272021.94247782</v>
      </c>
      <c r="N333">
        <f t="shared" si="81"/>
        <v>1.1286347224001913E+20</v>
      </c>
      <c r="O333">
        <v>3.254257908</v>
      </c>
      <c r="P333" s="1">
        <f t="shared" si="82"/>
        <v>6.393947896347375E+24</v>
      </c>
      <c r="Q333" s="1">
        <f t="shared" si="83"/>
        <v>1.9647944560967401E+24</v>
      </c>
    </row>
    <row r="334" spans="1:17" x14ac:dyDescent="0.2">
      <c r="A334">
        <f t="shared" si="84"/>
        <v>333</v>
      </c>
      <c r="B334">
        <f t="shared" si="76"/>
        <v>142.85714285714286</v>
      </c>
      <c r="C334">
        <f t="shared" si="85"/>
        <v>333000</v>
      </c>
      <c r="E334" t="s">
        <v>10</v>
      </c>
      <c r="F334">
        <v>19.073920879999999</v>
      </c>
      <c r="G334">
        <v>43.429000000000002</v>
      </c>
      <c r="H334">
        <f t="shared" si="77"/>
        <v>0.43919779133758546</v>
      </c>
      <c r="I334">
        <v>633.33369760000005</v>
      </c>
      <c r="J334">
        <f t="shared" si="78"/>
        <v>1442.0238673586448</v>
      </c>
      <c r="K334" s="1">
        <v>1.17E-6</v>
      </c>
      <c r="L334" s="1">
        <f t="shared" si="79"/>
        <v>56549.471855661504</v>
      </c>
      <c r="M334" s="1">
        <f t="shared" si="80"/>
        <v>495373373.45559478</v>
      </c>
      <c r="N334">
        <f t="shared" si="81"/>
        <v>7.5769170791473069E+23</v>
      </c>
      <c r="O334">
        <v>2.7980535280000001</v>
      </c>
      <c r="P334" s="1">
        <f t="shared" si="82"/>
        <v>4.2847065911992163E+28</v>
      </c>
      <c r="Q334" s="1">
        <f t="shared" si="83"/>
        <v>1.5313168773657628E+28</v>
      </c>
    </row>
    <row r="335" spans="1:17" x14ac:dyDescent="0.2">
      <c r="A335">
        <f t="shared" si="84"/>
        <v>334</v>
      </c>
      <c r="B335">
        <f t="shared" si="76"/>
        <v>142.85714285714286</v>
      </c>
      <c r="C335">
        <f t="shared" si="85"/>
        <v>334000</v>
      </c>
      <c r="E335" t="s">
        <v>10</v>
      </c>
      <c r="F335">
        <v>19.276067609999998</v>
      </c>
      <c r="G335">
        <v>43.429000000000002</v>
      </c>
      <c r="H335">
        <f t="shared" si="77"/>
        <v>0.44385243984434358</v>
      </c>
      <c r="I335">
        <v>397.92598170000002</v>
      </c>
      <c r="J335">
        <f t="shared" si="78"/>
        <v>896.52764292464019</v>
      </c>
      <c r="K335" s="1">
        <v>1.1400000000000001E-6</v>
      </c>
      <c r="L335" s="1">
        <f t="shared" si="79"/>
        <v>59274.307900027532</v>
      </c>
      <c r="M335" s="1">
        <f t="shared" si="80"/>
        <v>519242937.20424116</v>
      </c>
      <c r="N335">
        <f t="shared" si="81"/>
        <v>742390151017105.88</v>
      </c>
      <c r="O335">
        <v>2.3076338199999999</v>
      </c>
      <c r="P335" s="1">
        <f t="shared" si="82"/>
        <v>4.4004662393335874E+19</v>
      </c>
      <c r="Q335" s="1">
        <f t="shared" si="83"/>
        <v>1.9069170338878063E+19</v>
      </c>
    </row>
    <row r="336" spans="1:17" x14ac:dyDescent="0.2">
      <c r="A336">
        <f t="shared" si="84"/>
        <v>335</v>
      </c>
      <c r="B336">
        <f t="shared" si="76"/>
        <v>142.85714285714286</v>
      </c>
      <c r="C336">
        <f t="shared" si="85"/>
        <v>335000</v>
      </c>
      <c r="E336" t="s">
        <v>10</v>
      </c>
      <c r="F336">
        <v>19.531256880000001</v>
      </c>
      <c r="G336">
        <v>43.429000000000002</v>
      </c>
      <c r="H336">
        <f t="shared" si="77"/>
        <v>0.44972845057450089</v>
      </c>
      <c r="I336">
        <v>563.86484810000002</v>
      </c>
      <c r="J336">
        <f t="shared" si="78"/>
        <v>1253.7895865376024</v>
      </c>
      <c r="K336" s="1">
        <v>1.1000000000000001E-6</v>
      </c>
      <c r="L336" s="1">
        <f t="shared" si="79"/>
        <v>63066.998168051337</v>
      </c>
      <c r="M336" s="1">
        <f t="shared" si="80"/>
        <v>552466903.95212972</v>
      </c>
      <c r="N336">
        <f t="shared" si="81"/>
        <v>5.8993854547822287E+20</v>
      </c>
      <c r="O336">
        <v>1.9198600969999999</v>
      </c>
      <c r="P336" s="1">
        <f t="shared" si="82"/>
        <v>3.7205653166937951E+25</v>
      </c>
      <c r="Q336" s="1">
        <f t="shared" si="83"/>
        <v>1.9379356456793921E+25</v>
      </c>
    </row>
    <row r="337" spans="1:17" x14ac:dyDescent="0.2">
      <c r="A337">
        <f t="shared" si="84"/>
        <v>336</v>
      </c>
      <c r="B337">
        <f t="shared" si="76"/>
        <v>142.85714285714286</v>
      </c>
      <c r="C337">
        <f t="shared" si="85"/>
        <v>336000</v>
      </c>
      <c r="E337" t="s">
        <v>10</v>
      </c>
      <c r="F337">
        <v>19.998227400000001</v>
      </c>
      <c r="G337">
        <v>43.429000000000002</v>
      </c>
      <c r="H337">
        <f t="shared" si="77"/>
        <v>0.46048095512215342</v>
      </c>
      <c r="I337">
        <v>633.33369760000005</v>
      </c>
      <c r="J337">
        <f t="shared" si="78"/>
        <v>1375.3743570827883</v>
      </c>
      <c r="K337" s="1">
        <v>1.0300000000000001E-6</v>
      </c>
      <c r="L337" s="1">
        <f t="shared" si="79"/>
        <v>70612.281107147821</v>
      </c>
      <c r="M337" s="1">
        <f t="shared" si="80"/>
        <v>618563582.49861491</v>
      </c>
      <c r="N337">
        <f t="shared" si="81"/>
        <v>6.0086522674597186E+22</v>
      </c>
      <c r="O337">
        <v>2.5509428220000001</v>
      </c>
      <c r="P337" s="1">
        <f t="shared" si="82"/>
        <v>4.2428464298496679E+27</v>
      </c>
      <c r="Q337" s="1">
        <f t="shared" si="83"/>
        <v>1.6632463861040895E+27</v>
      </c>
    </row>
    <row r="338" spans="1:17" x14ac:dyDescent="0.2">
      <c r="A338">
        <f t="shared" si="84"/>
        <v>337</v>
      </c>
      <c r="B338">
        <f t="shared" si="76"/>
        <v>142.85714285714286</v>
      </c>
      <c r="C338">
        <f t="shared" si="85"/>
        <v>337000</v>
      </c>
      <c r="E338" t="s">
        <v>10</v>
      </c>
      <c r="F338">
        <v>20.061075519999999</v>
      </c>
      <c r="G338">
        <v>43.429000000000002</v>
      </c>
      <c r="H338">
        <f t="shared" si="77"/>
        <v>0.46192810149899832</v>
      </c>
      <c r="I338">
        <v>532.04238750000002</v>
      </c>
      <c r="J338">
        <f t="shared" si="78"/>
        <v>1151.7861454487711</v>
      </c>
      <c r="K338" s="1">
        <v>1.02E-6</v>
      </c>
      <c r="L338" s="1">
        <f t="shared" si="79"/>
        <v>71753.438075865532</v>
      </c>
      <c r="M338" s="1">
        <f t="shared" si="80"/>
        <v>628560117.54458201</v>
      </c>
      <c r="N338">
        <f t="shared" si="81"/>
        <v>1.219612252108546E+19</v>
      </c>
      <c r="O338">
        <v>3.5393856449999999</v>
      </c>
      <c r="P338" s="1">
        <f t="shared" si="82"/>
        <v>8.7511372208237466E+23</v>
      </c>
      <c r="Q338" s="1">
        <f t="shared" si="83"/>
        <v>2.4725017555479596E+23</v>
      </c>
    </row>
    <row r="339" spans="1:17" x14ac:dyDescent="0.2">
      <c r="A339">
        <f t="shared" si="84"/>
        <v>338</v>
      </c>
      <c r="B339">
        <f t="shared" si="76"/>
        <v>142.85714285714286</v>
      </c>
      <c r="C339">
        <f t="shared" si="85"/>
        <v>338000</v>
      </c>
      <c r="E339" t="s">
        <v>10</v>
      </c>
      <c r="F339">
        <v>19.092139450000001</v>
      </c>
      <c r="G339">
        <v>43.429000000000002</v>
      </c>
      <c r="H339">
        <f t="shared" si="77"/>
        <v>0.43961729374381175</v>
      </c>
      <c r="I339">
        <v>2553.4272850000002</v>
      </c>
      <c r="J339">
        <f t="shared" si="78"/>
        <v>5808.2958094183105</v>
      </c>
      <c r="K339" s="1">
        <v>1.17E-6</v>
      </c>
      <c r="L339" s="1">
        <f t="shared" si="79"/>
        <v>56657.550581889809</v>
      </c>
      <c r="M339" s="1">
        <f t="shared" si="80"/>
        <v>496320143.09735471</v>
      </c>
      <c r="N339">
        <f t="shared" si="81"/>
        <v>9.7363259805010404E+95</v>
      </c>
      <c r="O339">
        <v>5.5618917269999999</v>
      </c>
      <c r="P339" s="1">
        <f t="shared" si="82"/>
        <v>5.5163638172200556E+100</v>
      </c>
      <c r="Q339" s="1">
        <f t="shared" si="83"/>
        <v>9.9181431210555015E+99</v>
      </c>
    </row>
    <row r="340" spans="1:17" x14ac:dyDescent="0.2">
      <c r="A340">
        <f t="shared" si="84"/>
        <v>339</v>
      </c>
      <c r="B340">
        <f t="shared" si="76"/>
        <v>142.85714285714286</v>
      </c>
      <c r="C340">
        <f t="shared" si="85"/>
        <v>339000</v>
      </c>
      <c r="E340" t="s">
        <v>10</v>
      </c>
      <c r="F340">
        <v>19.24020513</v>
      </c>
      <c r="G340">
        <v>43.429000000000002</v>
      </c>
      <c r="H340">
        <f t="shared" si="77"/>
        <v>0.44302666720394202</v>
      </c>
      <c r="I340">
        <v>1347.7422180000001</v>
      </c>
      <c r="J340">
        <f t="shared" si="78"/>
        <v>3042.1243635421683</v>
      </c>
      <c r="K340" s="1">
        <v>1.1400000000000001E-6</v>
      </c>
      <c r="L340" s="1">
        <f t="shared" si="79"/>
        <v>59053.957327951328</v>
      </c>
      <c r="M340" s="1">
        <f t="shared" si="80"/>
        <v>517312666.19285363</v>
      </c>
      <c r="N340">
        <f t="shared" si="81"/>
        <v>2.0189401381223264E+50</v>
      </c>
      <c r="O340">
        <v>4.934610706</v>
      </c>
      <c r="P340" s="1">
        <f t="shared" si="82"/>
        <v>1.1922640476436403E+55</v>
      </c>
      <c r="Q340" s="1">
        <f t="shared" si="83"/>
        <v>2.4161258479700632E+54</v>
      </c>
    </row>
    <row r="341" spans="1:17" x14ac:dyDescent="0.2">
      <c r="A341">
        <f t="shared" si="84"/>
        <v>340</v>
      </c>
      <c r="B341">
        <f t="shared" si="76"/>
        <v>142.85714285714286</v>
      </c>
      <c r="C341">
        <f t="shared" si="85"/>
        <v>340000</v>
      </c>
      <c r="E341" t="s">
        <v>10</v>
      </c>
      <c r="F341">
        <v>19.235209569999999</v>
      </c>
      <c r="G341">
        <v>43.429000000000002</v>
      </c>
      <c r="H341">
        <f t="shared" si="77"/>
        <v>0.44291163899698355</v>
      </c>
      <c r="I341">
        <v>502.01586959999997</v>
      </c>
      <c r="J341">
        <f t="shared" si="78"/>
        <v>1133.4447447280088</v>
      </c>
      <c r="K341" s="1">
        <v>1.1400000000000001E-6</v>
      </c>
      <c r="L341" s="1">
        <f t="shared" si="79"/>
        <v>59023.295566609675</v>
      </c>
      <c r="M341" s="1">
        <f t="shared" si="80"/>
        <v>517044069.16350073</v>
      </c>
      <c r="N341">
        <f t="shared" si="81"/>
        <v>6.0717499185759365E+18</v>
      </c>
      <c r="O341">
        <v>4.4517944040000001</v>
      </c>
      <c r="P341" s="1">
        <f t="shared" si="82"/>
        <v>3.5837469005064574E+23</v>
      </c>
      <c r="Q341" s="1">
        <f t="shared" si="83"/>
        <v>8.050117717220747E+22</v>
      </c>
    </row>
    <row r="342" spans="1:17" x14ac:dyDescent="0.2">
      <c r="A342">
        <f t="shared" si="84"/>
        <v>341</v>
      </c>
      <c r="B342">
        <f t="shared" si="76"/>
        <v>142.85714285714286</v>
      </c>
      <c r="C342">
        <f t="shared" si="85"/>
        <v>341000</v>
      </c>
      <c r="E342" t="s">
        <v>10</v>
      </c>
      <c r="F342">
        <v>19.318086820000001</v>
      </c>
      <c r="G342">
        <v>43.429000000000002</v>
      </c>
      <c r="H342">
        <f t="shared" si="77"/>
        <v>0.44481997789495498</v>
      </c>
      <c r="I342">
        <v>563.86484810000002</v>
      </c>
      <c r="J342">
        <f t="shared" si="78"/>
        <v>1267.6248282921269</v>
      </c>
      <c r="K342" s="1">
        <v>1.13E-6</v>
      </c>
      <c r="L342" s="1">
        <f t="shared" si="79"/>
        <v>60059.850237099658</v>
      </c>
      <c r="M342" s="1">
        <f t="shared" si="80"/>
        <v>526124288.07699299</v>
      </c>
      <c r="N342">
        <f t="shared" si="81"/>
        <v>9.9837923980133597E+20</v>
      </c>
      <c r="O342">
        <v>2.9995437960000002</v>
      </c>
      <c r="P342" s="1">
        <f t="shared" si="82"/>
        <v>5.9962507622297643E+25</v>
      </c>
      <c r="Q342" s="1">
        <f t="shared" si="83"/>
        <v>1.9990542462577078E+25</v>
      </c>
    </row>
    <row r="343" spans="1:17" x14ac:dyDescent="0.2">
      <c r="A343">
        <f t="shared" si="84"/>
        <v>342</v>
      </c>
      <c r="B343">
        <f t="shared" si="76"/>
        <v>142.85714285714286</v>
      </c>
      <c r="C343">
        <f t="shared" si="85"/>
        <v>342000</v>
      </c>
      <c r="E343" t="s">
        <v>10</v>
      </c>
      <c r="F343">
        <v>19.354182890000001</v>
      </c>
      <c r="G343">
        <v>43.429000000000002</v>
      </c>
      <c r="H343">
        <f t="shared" si="77"/>
        <v>0.44565112919938288</v>
      </c>
      <c r="I343">
        <v>2409.32123</v>
      </c>
      <c r="J343">
        <f t="shared" si="78"/>
        <v>5406.2944580178037</v>
      </c>
      <c r="K343" s="1">
        <v>1.1200000000000001E-6</v>
      </c>
      <c r="L343" s="1">
        <f t="shared" si="79"/>
        <v>60822.759492984806</v>
      </c>
      <c r="M343" s="1">
        <f t="shared" si="80"/>
        <v>532807373.15854692</v>
      </c>
      <c r="N343">
        <f t="shared" si="81"/>
        <v>2.2353730970650349E+89</v>
      </c>
      <c r="O343">
        <v>3.820711679</v>
      </c>
      <c r="P343" s="1">
        <f t="shared" si="82"/>
        <v>1.359615602598752E+94</v>
      </c>
      <c r="Q343" s="1">
        <f t="shared" si="83"/>
        <v>3.5585401800185197E+93</v>
      </c>
    </row>
    <row r="344" spans="1:17" x14ac:dyDescent="0.2">
      <c r="A344">
        <f t="shared" si="84"/>
        <v>343</v>
      </c>
      <c r="B344">
        <f t="shared" si="76"/>
        <v>142.85714285714286</v>
      </c>
      <c r="C344">
        <f t="shared" si="85"/>
        <v>343000</v>
      </c>
      <c r="E344" t="s">
        <v>10</v>
      </c>
      <c r="F344">
        <v>19.006125999999998</v>
      </c>
      <c r="G344">
        <v>43.429000000000002</v>
      </c>
      <c r="H344">
        <f t="shared" si="77"/>
        <v>0.43763674042690365</v>
      </c>
      <c r="I344">
        <v>597.59067030000006</v>
      </c>
      <c r="J344">
        <f t="shared" si="78"/>
        <v>1365.4947473492864</v>
      </c>
      <c r="K344" s="1">
        <v>1.1799999999999999E-6</v>
      </c>
      <c r="L344" s="1">
        <f t="shared" si="79"/>
        <v>55672.363884762184</v>
      </c>
      <c r="M344" s="1">
        <f t="shared" si="80"/>
        <v>487689907.63051671</v>
      </c>
      <c r="N344">
        <f t="shared" si="81"/>
        <v>4.1268196924822334E+22</v>
      </c>
      <c r="O344">
        <v>4.6418795619999997</v>
      </c>
      <c r="P344" s="1">
        <f t="shared" si="82"/>
        <v>2.2974980760667328E+27</v>
      </c>
      <c r="Q344" s="1">
        <f t="shared" si="83"/>
        <v>4.9494995408214192E+26</v>
      </c>
    </row>
    <row r="345" spans="1:17" x14ac:dyDescent="0.2">
      <c r="A345">
        <f t="shared" si="84"/>
        <v>344</v>
      </c>
      <c r="B345">
        <f t="shared" si="76"/>
        <v>142.85714285714286</v>
      </c>
      <c r="C345">
        <f t="shared" si="85"/>
        <v>344000</v>
      </c>
      <c r="E345" t="s">
        <v>10</v>
      </c>
      <c r="F345">
        <v>19.017885710000002</v>
      </c>
      <c r="G345">
        <v>43.429000000000002</v>
      </c>
      <c r="H345">
        <f t="shared" si="77"/>
        <v>0.43790752055078408</v>
      </c>
      <c r="I345">
        <v>502.01586959999997</v>
      </c>
      <c r="J345">
        <f t="shared" si="78"/>
        <v>1146.3970040262902</v>
      </c>
      <c r="K345" s="1">
        <v>1.1799999999999999E-6</v>
      </c>
      <c r="L345" s="1">
        <f t="shared" si="79"/>
        <v>55741.277812154949</v>
      </c>
      <c r="M345" s="1">
        <f t="shared" si="80"/>
        <v>488293593.63447738</v>
      </c>
      <c r="N345">
        <f t="shared" si="81"/>
        <v>9.9361972631188173E+18</v>
      </c>
      <c r="O345">
        <v>4.3035279810000002</v>
      </c>
      <c r="P345" s="1">
        <f t="shared" si="82"/>
        <v>5.5385633203987965E+23</v>
      </c>
      <c r="Q345" s="1">
        <f t="shared" si="83"/>
        <v>1.2869820632865535E+23</v>
      </c>
    </row>
    <row r="346" spans="1:17" x14ac:dyDescent="0.2">
      <c r="A346">
        <f t="shared" si="84"/>
        <v>345</v>
      </c>
      <c r="B346">
        <f t="shared" si="76"/>
        <v>142.85714285714286</v>
      </c>
      <c r="C346">
        <f t="shared" si="85"/>
        <v>345000</v>
      </c>
      <c r="E346" t="s">
        <v>10</v>
      </c>
      <c r="F346">
        <v>19.222589500000002</v>
      </c>
      <c r="G346">
        <v>43.429000000000002</v>
      </c>
      <c r="H346">
        <f t="shared" si="77"/>
        <v>0.44262104814755121</v>
      </c>
      <c r="I346">
        <v>633.33369760000005</v>
      </c>
      <c r="J346">
        <f t="shared" si="78"/>
        <v>1430.8711712888839</v>
      </c>
      <c r="K346" s="1">
        <v>1.15E-6</v>
      </c>
      <c r="L346" s="1">
        <f t="shared" si="79"/>
        <v>58433.298735904558</v>
      </c>
      <c r="M346" s="1">
        <f t="shared" si="80"/>
        <v>511875696.92652392</v>
      </c>
      <c r="N346">
        <f t="shared" si="81"/>
        <v>4.9579935730019974E+23</v>
      </c>
      <c r="O346">
        <v>4.4555961069999999</v>
      </c>
      <c r="P346" s="1">
        <f t="shared" si="82"/>
        <v>2.8971191958192055E+28</v>
      </c>
      <c r="Q346" s="1">
        <f t="shared" si="83"/>
        <v>6.5022033556130982E+27</v>
      </c>
    </row>
    <row r="347" spans="1:17" x14ac:dyDescent="0.2">
      <c r="A347">
        <f t="shared" si="84"/>
        <v>346</v>
      </c>
      <c r="B347">
        <f t="shared" si="76"/>
        <v>142.85714285714286</v>
      </c>
      <c r="C347">
        <f t="shared" si="85"/>
        <v>346000</v>
      </c>
      <c r="E347" t="s">
        <v>10</v>
      </c>
      <c r="F347">
        <v>18.067422140000001</v>
      </c>
      <c r="G347">
        <v>43.429000000000002</v>
      </c>
      <c r="H347">
        <f t="shared" si="77"/>
        <v>0.4160220622164913</v>
      </c>
      <c r="I347">
        <v>1068.2961989999999</v>
      </c>
      <c r="J347">
        <f t="shared" si="78"/>
        <v>2567.8835235523529</v>
      </c>
      <c r="K347" s="1">
        <v>1.3599999999999999E-6</v>
      </c>
      <c r="L347" s="1">
        <f t="shared" si="79"/>
        <v>43650.370730915973</v>
      </c>
      <c r="M347" s="1">
        <f t="shared" si="80"/>
        <v>382377247.60282391</v>
      </c>
      <c r="N347">
        <f t="shared" si="81"/>
        <v>2.9719705504736899E+42</v>
      </c>
      <c r="O347">
        <v>6.7024026760000002</v>
      </c>
      <c r="P347" s="1">
        <f t="shared" si="82"/>
        <v>1.2972761632954098E+47</v>
      </c>
      <c r="Q347" s="1">
        <f t="shared" si="83"/>
        <v>1.9355389790898468E+46</v>
      </c>
    </row>
    <row r="348" spans="1:17" x14ac:dyDescent="0.2">
      <c r="A348">
        <f t="shared" si="84"/>
        <v>347</v>
      </c>
      <c r="B348">
        <f t="shared" si="76"/>
        <v>142.85714285714286</v>
      </c>
      <c r="C348">
        <f t="shared" si="85"/>
        <v>347000</v>
      </c>
      <c r="E348" t="s">
        <v>10</v>
      </c>
      <c r="F348">
        <v>18.259243290000001</v>
      </c>
      <c r="G348">
        <v>43.429000000000002</v>
      </c>
      <c r="H348">
        <f t="shared" si="77"/>
        <v>0.42043895300375322</v>
      </c>
      <c r="I348">
        <v>421.72668670000002</v>
      </c>
      <c r="J348">
        <f t="shared" si="78"/>
        <v>1003.0628315645988</v>
      </c>
      <c r="K348" s="1">
        <v>1.3200000000000001E-6</v>
      </c>
      <c r="L348" s="1">
        <f t="shared" si="79"/>
        <v>45933.134264084867</v>
      </c>
      <c r="M348" s="1">
        <f t="shared" si="80"/>
        <v>402374256.15338343</v>
      </c>
      <c r="N348">
        <f t="shared" si="81"/>
        <v>4.2663740136531912E+16</v>
      </c>
      <c r="O348">
        <v>5.8850364959999997</v>
      </c>
      <c r="P348" s="1">
        <f t="shared" si="82"/>
        <v>1.9596793038993466E+21</v>
      </c>
      <c r="Q348" s="1">
        <f t="shared" si="83"/>
        <v>3.3299356855838042E+20</v>
      </c>
    </row>
    <row r="349" spans="1:17" x14ac:dyDescent="0.2">
      <c r="A349">
        <f t="shared" si="84"/>
        <v>348</v>
      </c>
      <c r="B349">
        <f t="shared" si="76"/>
        <v>142.85714285714286</v>
      </c>
      <c r="C349">
        <f t="shared" si="85"/>
        <v>348000</v>
      </c>
      <c r="E349" t="s">
        <v>10</v>
      </c>
      <c r="F349">
        <v>18.424789100000002</v>
      </c>
      <c r="G349">
        <v>43.429000000000002</v>
      </c>
      <c r="H349">
        <f t="shared" si="77"/>
        <v>0.42425082548527482</v>
      </c>
      <c r="I349">
        <v>633.33369760000005</v>
      </c>
      <c r="J349">
        <f t="shared" si="78"/>
        <v>1492.8284391092652</v>
      </c>
      <c r="K349" s="1">
        <v>1.2899999999999999E-6</v>
      </c>
      <c r="L349" s="1">
        <f t="shared" si="79"/>
        <v>47857.477273839868</v>
      </c>
      <c r="M349" s="1">
        <f t="shared" si="80"/>
        <v>419231500.91883725</v>
      </c>
      <c r="N349">
        <f t="shared" si="81"/>
        <v>5.2303303849691568E+24</v>
      </c>
      <c r="O349">
        <v>5.265358881</v>
      </c>
      <c r="P349" s="1">
        <f t="shared" si="82"/>
        <v>2.5031041753333556E+29</v>
      </c>
      <c r="Q349" s="1">
        <f t="shared" si="83"/>
        <v>4.7539099079566723E+28</v>
      </c>
    </row>
    <row r="350" spans="1:17" x14ac:dyDescent="0.2">
      <c r="A350">
        <f t="shared" si="84"/>
        <v>349</v>
      </c>
      <c r="B350">
        <f t="shared" si="76"/>
        <v>142.85714285714286</v>
      </c>
      <c r="C350">
        <f t="shared" si="85"/>
        <v>349000</v>
      </c>
      <c r="E350" t="s">
        <v>10</v>
      </c>
      <c r="F350">
        <v>18.713222170000002</v>
      </c>
      <c r="G350">
        <v>43.429000000000002</v>
      </c>
      <c r="H350">
        <f t="shared" si="77"/>
        <v>0.43089231089824775</v>
      </c>
      <c r="I350">
        <v>532.04238750000002</v>
      </c>
      <c r="J350">
        <f t="shared" si="78"/>
        <v>1234.7456059053191</v>
      </c>
      <c r="K350" s="1">
        <v>1.2300000000000001E-6</v>
      </c>
      <c r="L350" s="1">
        <f t="shared" si="79"/>
        <v>51775.761765685078</v>
      </c>
      <c r="M350" s="1">
        <f t="shared" si="80"/>
        <v>453555673.06740129</v>
      </c>
      <c r="N350">
        <f t="shared" si="81"/>
        <v>2.8595373636417533E+20</v>
      </c>
      <c r="O350">
        <v>5.0752737229999996</v>
      </c>
      <c r="P350" s="1">
        <f t="shared" si="82"/>
        <v>1.4805472529999059E+25</v>
      </c>
      <c r="Q350" s="1">
        <f t="shared" si="83"/>
        <v>2.9171771490676426E+24</v>
      </c>
    </row>
    <row r="351" spans="1:17" x14ac:dyDescent="0.2">
      <c r="A351">
        <f t="shared" si="84"/>
        <v>350</v>
      </c>
      <c r="B351">
        <f t="shared" si="76"/>
        <v>142.85714285714286</v>
      </c>
      <c r="C351">
        <f t="shared" si="85"/>
        <v>350000</v>
      </c>
      <c r="E351" t="s">
        <v>10</v>
      </c>
      <c r="F351">
        <v>18.833363429999999</v>
      </c>
      <c r="G351">
        <v>43.429000000000002</v>
      </c>
      <c r="H351">
        <f t="shared" si="77"/>
        <v>0.43365869419051778</v>
      </c>
      <c r="I351">
        <v>846.79158440000003</v>
      </c>
      <c r="J351">
        <f t="shared" si="78"/>
        <v>1952.6682982354369</v>
      </c>
      <c r="K351" s="1">
        <v>1.2100000000000001E-6</v>
      </c>
      <c r="L351" s="1">
        <f t="shared" si="79"/>
        <v>53309.531425726927</v>
      </c>
      <c r="M351" s="1">
        <f t="shared" si="80"/>
        <v>466991495.28936785</v>
      </c>
      <c r="N351">
        <f t="shared" si="81"/>
        <v>2.054831068789417E+32</v>
      </c>
      <c r="O351">
        <v>5.0600669099999998</v>
      </c>
      <c r="P351" s="1">
        <f t="shared" si="82"/>
        <v>1.0954208143618948E+37</v>
      </c>
      <c r="Q351" s="1">
        <f t="shared" si="83"/>
        <v>2.1648346431883346E+36</v>
      </c>
    </row>
    <row r="352" spans="1:17" x14ac:dyDescent="0.2">
      <c r="A352">
        <f t="shared" si="84"/>
        <v>351</v>
      </c>
      <c r="B352">
        <f t="shared" si="76"/>
        <v>142.85714285714286</v>
      </c>
      <c r="C352">
        <f t="shared" si="85"/>
        <v>351000</v>
      </c>
      <c r="E352" t="s">
        <v>10</v>
      </c>
      <c r="F352">
        <v>19.067321150000001</v>
      </c>
      <c r="G352">
        <v>43.429000000000002</v>
      </c>
      <c r="H352">
        <f t="shared" si="77"/>
        <v>0.43904582537014436</v>
      </c>
      <c r="I352">
        <v>532.04238750000002</v>
      </c>
      <c r="J352">
        <f t="shared" si="78"/>
        <v>1211.8151608694911</v>
      </c>
      <c r="K352" s="1">
        <v>1.17E-6</v>
      </c>
      <c r="L352" s="1">
        <f t="shared" si="79"/>
        <v>56510.345481887438</v>
      </c>
      <c r="M352" s="1">
        <f t="shared" si="80"/>
        <v>495030626.42133397</v>
      </c>
      <c r="N352">
        <f t="shared" si="81"/>
        <v>1.195638492515829E+20</v>
      </c>
      <c r="O352">
        <v>5.1703163019999998</v>
      </c>
      <c r="P352" s="1">
        <f t="shared" si="82"/>
        <v>6.7565944283512581E+24</v>
      </c>
      <c r="Q352" s="1">
        <f t="shared" si="83"/>
        <v>1.3068048517143234E+24</v>
      </c>
    </row>
    <row r="353" spans="1:17" x14ac:dyDescent="0.2">
      <c r="A353">
        <f t="shared" si="84"/>
        <v>352</v>
      </c>
      <c r="B353">
        <f t="shared" si="76"/>
        <v>142.85714285714286</v>
      </c>
      <c r="C353">
        <f t="shared" si="85"/>
        <v>352000</v>
      </c>
      <c r="E353" t="s">
        <v>10</v>
      </c>
      <c r="F353">
        <v>18.52610945</v>
      </c>
      <c r="G353">
        <v>43.429000000000002</v>
      </c>
      <c r="H353">
        <f t="shared" si="77"/>
        <v>0.42658383683713647</v>
      </c>
      <c r="I353">
        <v>446.95095679999997</v>
      </c>
      <c r="J353">
        <f t="shared" si="78"/>
        <v>1047.7447062079837</v>
      </c>
      <c r="K353" s="1">
        <v>1.2699999999999999E-6</v>
      </c>
      <c r="L353" s="1">
        <f t="shared" si="79"/>
        <v>49147.246502982358</v>
      </c>
      <c r="M353" s="1">
        <f t="shared" si="80"/>
        <v>430529879.36612546</v>
      </c>
      <c r="N353">
        <f t="shared" si="81"/>
        <v>2.3333467436265581E+17</v>
      </c>
      <c r="O353">
        <v>6.4628953769999997</v>
      </c>
      <c r="P353" s="1">
        <f t="shared" si="82"/>
        <v>1.1467756758594564E+22</v>
      </c>
      <c r="Q353" s="1">
        <f t="shared" si="83"/>
        <v>1.7743992575534715E+21</v>
      </c>
    </row>
    <row r="354" spans="1:17" x14ac:dyDescent="0.2">
      <c r="A354">
        <f t="shared" si="84"/>
        <v>353</v>
      </c>
      <c r="B354">
        <f t="shared" si="76"/>
        <v>142.85714285714286</v>
      </c>
      <c r="C354">
        <f t="shared" si="85"/>
        <v>353000</v>
      </c>
      <c r="E354" t="s">
        <v>10</v>
      </c>
      <c r="F354">
        <v>17.790539620000001</v>
      </c>
      <c r="G354">
        <v>43.429000000000002</v>
      </c>
      <c r="H354">
        <f t="shared" si="77"/>
        <v>0.40964654079071589</v>
      </c>
      <c r="I354">
        <v>1700.2860149999999</v>
      </c>
      <c r="J354">
        <f t="shared" si="78"/>
        <v>4150.617290013095</v>
      </c>
      <c r="K354" s="1">
        <v>1.42E-6</v>
      </c>
      <c r="L354" s="1">
        <f t="shared" si="79"/>
        <v>40534.456982364289</v>
      </c>
      <c r="M354" s="1">
        <f t="shared" si="80"/>
        <v>355081843.16551119</v>
      </c>
      <c r="N354">
        <f t="shared" si="81"/>
        <v>4.0913268925497831E+68</v>
      </c>
      <c r="O354">
        <v>7.4399330900000002</v>
      </c>
      <c r="P354" s="1">
        <f t="shared" si="82"/>
        <v>1.6583971392684935E+73</v>
      </c>
      <c r="Q354" s="1">
        <f t="shared" si="83"/>
        <v>2.2290484594512576E+72</v>
      </c>
    </row>
    <row r="355" spans="1:17" x14ac:dyDescent="0.2">
      <c r="A355">
        <f t="shared" si="84"/>
        <v>354</v>
      </c>
      <c r="B355">
        <f t="shared" si="76"/>
        <v>142.85714285714286</v>
      </c>
      <c r="C355">
        <f t="shared" si="85"/>
        <v>354000</v>
      </c>
      <c r="E355" t="s">
        <v>10</v>
      </c>
      <c r="F355">
        <v>18.04594153</v>
      </c>
      <c r="G355">
        <v>43.429000000000002</v>
      </c>
      <c r="H355">
        <f t="shared" si="77"/>
        <v>0.41552744778834416</v>
      </c>
      <c r="I355">
        <v>375.46850110000003</v>
      </c>
      <c r="J355">
        <f t="shared" si="78"/>
        <v>903.5949444457666</v>
      </c>
      <c r="K355" s="1">
        <v>1.37E-6</v>
      </c>
      <c r="L355" s="1">
        <f t="shared" si="79"/>
        <v>43228.780681653152</v>
      </c>
      <c r="M355" s="1">
        <f t="shared" si="80"/>
        <v>378684118.7712816</v>
      </c>
      <c r="N355">
        <f t="shared" si="81"/>
        <v>971289198621835.88</v>
      </c>
      <c r="O355">
        <v>6.5959549879999999</v>
      </c>
      <c r="P355" s="1">
        <f t="shared" si="82"/>
        <v>4.198764774568199E+19</v>
      </c>
      <c r="Q355" s="1">
        <f t="shared" si="83"/>
        <v>6.3656662033124823E+18</v>
      </c>
    </row>
    <row r="356" spans="1:17" x14ac:dyDescent="0.2">
      <c r="A356">
        <f t="shared" si="84"/>
        <v>355</v>
      </c>
      <c r="B356">
        <f t="shared" si="76"/>
        <v>142.85714285714286</v>
      </c>
      <c r="C356">
        <f t="shared" si="85"/>
        <v>355000</v>
      </c>
      <c r="E356" t="s">
        <v>10</v>
      </c>
      <c r="F356">
        <v>18.30866683</v>
      </c>
      <c r="G356">
        <v>43.429000000000002</v>
      </c>
      <c r="H356">
        <f t="shared" si="77"/>
        <v>0.42157698381265973</v>
      </c>
      <c r="I356">
        <v>532.04238750000002</v>
      </c>
      <c r="J356">
        <f t="shared" si="78"/>
        <v>1262.029019441035</v>
      </c>
      <c r="K356" s="1">
        <v>1.31E-6</v>
      </c>
      <c r="L356" s="1">
        <f t="shared" si="79"/>
        <v>46534.666851327325</v>
      </c>
      <c r="M356" s="1">
        <f t="shared" si="80"/>
        <v>407643681.61762738</v>
      </c>
      <c r="N356">
        <f t="shared" si="81"/>
        <v>8.0701361045441466E+20</v>
      </c>
      <c r="O356">
        <v>5.1399026760000002</v>
      </c>
      <c r="P356" s="1">
        <f t="shared" si="82"/>
        <v>3.7554109506983032E+25</v>
      </c>
      <c r="Q356" s="1">
        <f t="shared" si="83"/>
        <v>7.3063853294997742E+24</v>
      </c>
    </row>
    <row r="357" spans="1:17" x14ac:dyDescent="0.2">
      <c r="A357">
        <f t="shared" si="84"/>
        <v>356</v>
      </c>
      <c r="B357">
        <f t="shared" si="76"/>
        <v>142.85714285714286</v>
      </c>
      <c r="C357">
        <f t="shared" si="85"/>
        <v>356000</v>
      </c>
      <c r="E357" t="s">
        <v>10</v>
      </c>
      <c r="F357">
        <v>18.47172836</v>
      </c>
      <c r="G357">
        <v>43.429000000000002</v>
      </c>
      <c r="H357">
        <f t="shared" si="77"/>
        <v>0.42533165304289761</v>
      </c>
      <c r="I357">
        <v>563.86484810000002</v>
      </c>
      <c r="J357">
        <f t="shared" si="78"/>
        <v>1325.7062907639522</v>
      </c>
      <c r="K357" s="1">
        <v>1.28E-6</v>
      </c>
      <c r="L357" s="1">
        <f t="shared" si="79"/>
        <v>48477.426697273375</v>
      </c>
      <c r="M357" s="1">
        <f t="shared" si="80"/>
        <v>424662257.86811477</v>
      </c>
      <c r="N357">
        <f t="shared" si="81"/>
        <v>9.0888691189204323E+21</v>
      </c>
      <c r="O357">
        <v>5.155109489</v>
      </c>
      <c r="P357" s="1">
        <f t="shared" si="82"/>
        <v>4.4060498647357687E+26</v>
      </c>
      <c r="Q357" s="1">
        <f t="shared" si="83"/>
        <v>8.5469569058376378E+25</v>
      </c>
    </row>
    <row r="358" spans="1:17" x14ac:dyDescent="0.2">
      <c r="A358">
        <f t="shared" si="84"/>
        <v>357</v>
      </c>
      <c r="B358">
        <f t="shared" si="76"/>
        <v>142.85714285714286</v>
      </c>
      <c r="C358">
        <f t="shared" si="85"/>
        <v>357000</v>
      </c>
      <c r="E358" t="s">
        <v>10</v>
      </c>
      <c r="F358">
        <v>18.644221219999999</v>
      </c>
      <c r="G358">
        <v>43.429000000000002</v>
      </c>
      <c r="H358">
        <f t="shared" si="77"/>
        <v>0.42930348891293829</v>
      </c>
      <c r="I358">
        <v>563.86484810000002</v>
      </c>
      <c r="J358">
        <f t="shared" si="78"/>
        <v>1313.4411032339651</v>
      </c>
      <c r="K358" s="1">
        <v>1.2500000000000001E-6</v>
      </c>
      <c r="L358" s="1">
        <f t="shared" si="79"/>
        <v>50572.327646670172</v>
      </c>
      <c r="M358" s="1">
        <f t="shared" si="80"/>
        <v>443013590.18483073</v>
      </c>
      <c r="N358">
        <f t="shared" si="81"/>
        <v>5.7009928740917624E+21</v>
      </c>
      <c r="O358">
        <v>5.364203163</v>
      </c>
      <c r="P358" s="1">
        <f t="shared" si="82"/>
        <v>2.8831247953990047E+26</v>
      </c>
      <c r="Q358" s="1">
        <f t="shared" si="83"/>
        <v>5.3747494414185833E+25</v>
      </c>
    </row>
    <row r="359" spans="1:17" x14ac:dyDescent="0.2">
      <c r="A359">
        <f t="shared" si="84"/>
        <v>358</v>
      </c>
      <c r="B359">
        <f t="shared" si="76"/>
        <v>142.85714285714286</v>
      </c>
      <c r="C359">
        <f t="shared" si="85"/>
        <v>358000</v>
      </c>
      <c r="E359" t="s">
        <v>10</v>
      </c>
      <c r="F359">
        <v>18.000257560000001</v>
      </c>
      <c r="G359">
        <v>43.429000000000002</v>
      </c>
      <c r="H359">
        <f t="shared" si="77"/>
        <v>0.41447552464942783</v>
      </c>
      <c r="I359">
        <v>502.01586959999997</v>
      </c>
      <c r="J359">
        <f t="shared" si="78"/>
        <v>1211.2075134584018</v>
      </c>
      <c r="K359" s="1">
        <v>1.37E-6</v>
      </c>
      <c r="L359" s="1">
        <f t="shared" si="79"/>
        <v>43010.187199242726</v>
      </c>
      <c r="M359" s="1">
        <f t="shared" si="80"/>
        <v>376769239.86536628</v>
      </c>
      <c r="N359">
        <f t="shared" si="81"/>
        <v>1.1683275082078226E+20</v>
      </c>
      <c r="O359">
        <v>5.3223844280000003</v>
      </c>
      <c r="P359" s="1">
        <f t="shared" si="82"/>
        <v>5.0249984838043241E+24</v>
      </c>
      <c r="Q359" s="1">
        <f t="shared" si="83"/>
        <v>9.4412542945391385E+23</v>
      </c>
    </row>
    <row r="360" spans="1:17" x14ac:dyDescent="0.2">
      <c r="A360">
        <f t="shared" si="84"/>
        <v>359</v>
      </c>
      <c r="B360">
        <f t="shared" si="76"/>
        <v>142.85714285714286</v>
      </c>
      <c r="C360">
        <f t="shared" si="85"/>
        <v>359000</v>
      </c>
      <c r="E360" t="s">
        <v>10</v>
      </c>
      <c r="F360">
        <v>18.15098377</v>
      </c>
      <c r="G360">
        <v>43.429000000000002</v>
      </c>
      <c r="H360">
        <f t="shared" si="77"/>
        <v>0.41794615970895022</v>
      </c>
      <c r="I360">
        <v>597.59067030000006</v>
      </c>
      <c r="J360">
        <f t="shared" si="78"/>
        <v>1429.8269200897812</v>
      </c>
      <c r="K360" s="1">
        <v>1.3400000000000001E-6</v>
      </c>
      <c r="L360" s="1">
        <f t="shared" si="79"/>
        <v>44712.607760076527</v>
      </c>
      <c r="M360" s="1">
        <f t="shared" si="80"/>
        <v>391682443.97827035</v>
      </c>
      <c r="N360">
        <f t="shared" si="81"/>
        <v>4.7649699890961413E+23</v>
      </c>
      <c r="O360">
        <v>5.3718065690000003</v>
      </c>
      <c r="P360" s="1">
        <f t="shared" si="82"/>
        <v>2.1305423411099189E+28</v>
      </c>
      <c r="Q360" s="1">
        <f t="shared" si="83"/>
        <v>3.966156103618851E+27</v>
      </c>
    </row>
    <row r="361" spans="1:17" x14ac:dyDescent="0.2">
      <c r="A361">
        <f t="shared" si="84"/>
        <v>360</v>
      </c>
      <c r="B361">
        <f t="shared" si="76"/>
        <v>142.85714285714286</v>
      </c>
      <c r="C361">
        <f t="shared" si="85"/>
        <v>360000</v>
      </c>
      <c r="E361" t="s">
        <v>10</v>
      </c>
      <c r="F361">
        <v>17.26171957</v>
      </c>
      <c r="G361">
        <v>43.429000000000002</v>
      </c>
      <c r="H361">
        <f t="shared" si="77"/>
        <v>0.39746988348799189</v>
      </c>
      <c r="I361">
        <v>502.01586959999997</v>
      </c>
      <c r="J361">
        <f t="shared" si="78"/>
        <v>1263.0286984124837</v>
      </c>
      <c r="K361" s="1">
        <v>1.5400000000000001E-6</v>
      </c>
      <c r="L361" s="1">
        <f t="shared" si="79"/>
        <v>35186.968662354251</v>
      </c>
      <c r="M361" s="1">
        <f t="shared" si="80"/>
        <v>308237845.48222321</v>
      </c>
      <c r="N361">
        <f t="shared" si="81"/>
        <v>8.3828276939306906E+20</v>
      </c>
      <c r="O361">
        <v>7.603406326</v>
      </c>
      <c r="P361" s="1">
        <f t="shared" si="82"/>
        <v>2.9496629536825455E+25</v>
      </c>
      <c r="Q361" s="1">
        <f t="shared" si="83"/>
        <v>3.8793967167006634E+24</v>
      </c>
    </row>
    <row r="362" spans="1:17" x14ac:dyDescent="0.2">
      <c r="A362">
        <f t="shared" si="84"/>
        <v>361</v>
      </c>
      <c r="B362">
        <f t="shared" si="76"/>
        <v>142.85714285714286</v>
      </c>
      <c r="C362">
        <f t="shared" si="85"/>
        <v>361000</v>
      </c>
      <c r="E362" t="s">
        <v>10</v>
      </c>
      <c r="F362">
        <v>17.499270989999999</v>
      </c>
      <c r="G362">
        <v>43.429000000000002</v>
      </c>
      <c r="H362">
        <f t="shared" si="77"/>
        <v>0.40293976352207045</v>
      </c>
      <c r="I362">
        <v>532.04238750000002</v>
      </c>
      <c r="J362">
        <f t="shared" si="78"/>
        <v>1320.4017961629099</v>
      </c>
      <c r="K362" s="1">
        <v>1.4899999999999999E-6</v>
      </c>
      <c r="L362" s="1">
        <f t="shared" si="79"/>
        <v>37375.594220360515</v>
      </c>
      <c r="M362" s="1">
        <f t="shared" si="80"/>
        <v>327410205.37035811</v>
      </c>
      <c r="N362">
        <f t="shared" si="81"/>
        <v>7.4285870459971835E+21</v>
      </c>
      <c r="O362">
        <v>7.0103406330000002</v>
      </c>
      <c r="P362" s="1">
        <f t="shared" si="82"/>
        <v>2.7764785506181732E+26</v>
      </c>
      <c r="Q362" s="1">
        <f t="shared" si="83"/>
        <v>3.9605472771870274E+25</v>
      </c>
    </row>
    <row r="363" spans="1:17" x14ac:dyDescent="0.2">
      <c r="A363">
        <f t="shared" si="84"/>
        <v>362</v>
      </c>
      <c r="B363">
        <f t="shared" si="76"/>
        <v>142.85714285714286</v>
      </c>
      <c r="C363">
        <f t="shared" si="85"/>
        <v>362000</v>
      </c>
      <c r="E363" t="s">
        <v>10</v>
      </c>
      <c r="F363">
        <v>17.868187590000002</v>
      </c>
      <c r="G363">
        <v>43.429000000000002</v>
      </c>
      <c r="H363">
        <f t="shared" si="77"/>
        <v>0.41143446982431098</v>
      </c>
      <c r="I363">
        <v>473.68393809999998</v>
      </c>
      <c r="J363">
        <f t="shared" si="78"/>
        <v>1151.2986218735405</v>
      </c>
      <c r="K363" s="1">
        <v>1.3999999999999999E-6</v>
      </c>
      <c r="L363" s="1">
        <f t="shared" si="79"/>
        <v>41473.189125104916</v>
      </c>
      <c r="M363" s="1">
        <f t="shared" si="80"/>
        <v>363305136.73591906</v>
      </c>
      <c r="N363">
        <f t="shared" si="81"/>
        <v>1.1972099994047941E+19</v>
      </c>
      <c r="O363">
        <v>6.0599148420000004</v>
      </c>
      <c r="P363" s="1">
        <f t="shared" si="82"/>
        <v>4.9652116727781771E+23</v>
      </c>
      <c r="Q363" s="1">
        <f t="shared" si="83"/>
        <v>8.193533741374277E+22</v>
      </c>
    </row>
    <row r="364" spans="1:17" x14ac:dyDescent="0.2">
      <c r="A364">
        <f t="shared" si="84"/>
        <v>363</v>
      </c>
      <c r="B364">
        <f t="shared" si="76"/>
        <v>142.85714285714286</v>
      </c>
      <c r="C364">
        <f t="shared" si="85"/>
        <v>363000</v>
      </c>
      <c r="E364" t="s">
        <v>10</v>
      </c>
      <c r="F364">
        <v>17.97530841</v>
      </c>
      <c r="G364">
        <v>43.429000000000002</v>
      </c>
      <c r="H364">
        <f t="shared" si="77"/>
        <v>0.41390104331207256</v>
      </c>
      <c r="I364">
        <v>2553.4272850000002</v>
      </c>
      <c r="J364">
        <f t="shared" si="78"/>
        <v>6169.1733477336766</v>
      </c>
      <c r="K364" s="1">
        <v>1.3799999999999999E-6</v>
      </c>
      <c r="L364" s="1">
        <f t="shared" si="79"/>
        <v>42580.237147539134</v>
      </c>
      <c r="M364" s="1">
        <f t="shared" si="80"/>
        <v>373002877.4124428</v>
      </c>
      <c r="N364">
        <f t="shared" si="81"/>
        <v>8.8773053599045295E+101</v>
      </c>
      <c r="O364">
        <v>5.8394160580000003</v>
      </c>
      <c r="P364" s="1">
        <f t="shared" si="82"/>
        <v>3.7799776745585512E+106</v>
      </c>
      <c r="Q364" s="1">
        <f t="shared" si="83"/>
        <v>6.4732117681184601E+105</v>
      </c>
    </row>
    <row r="365" spans="1:17" x14ac:dyDescent="0.2">
      <c r="A365">
        <f t="shared" si="84"/>
        <v>364</v>
      </c>
      <c r="B365">
        <f t="shared" si="76"/>
        <v>142.85714285714286</v>
      </c>
      <c r="C365">
        <f t="shared" si="85"/>
        <v>364000</v>
      </c>
      <c r="E365" t="s">
        <v>10</v>
      </c>
      <c r="F365">
        <v>18.112346339999998</v>
      </c>
      <c r="G365">
        <v>43.429000000000002</v>
      </c>
      <c r="H365">
        <f t="shared" si="77"/>
        <v>0.41705649082410368</v>
      </c>
      <c r="I365">
        <v>532.04238750000002</v>
      </c>
      <c r="J365">
        <f t="shared" si="78"/>
        <v>1275.7082054967761</v>
      </c>
      <c r="K365" s="1">
        <v>1.35E-6</v>
      </c>
      <c r="L365" s="1">
        <f t="shared" si="79"/>
        <v>44192.657757563618</v>
      </c>
      <c r="M365" s="1">
        <f t="shared" si="80"/>
        <v>387127681.95625728</v>
      </c>
      <c r="N365">
        <f t="shared" si="81"/>
        <v>1.3576642142103913E+21</v>
      </c>
      <c r="O365">
        <v>5.3870133820000001</v>
      </c>
      <c r="P365" s="1">
        <f t="shared" si="82"/>
        <v>5.9998789968291362E+25</v>
      </c>
      <c r="Q365" s="1">
        <f t="shared" si="83"/>
        <v>1.1137672345268244E+25</v>
      </c>
    </row>
    <row r="366" spans="1:17" x14ac:dyDescent="0.2">
      <c r="A366">
        <f t="shared" si="84"/>
        <v>365</v>
      </c>
      <c r="B366">
        <f t="shared" ref="B366:B400" si="86">3000/21</f>
        <v>142.85714285714286</v>
      </c>
      <c r="C366">
        <f t="shared" si="85"/>
        <v>365000</v>
      </c>
      <c r="E366" t="s">
        <v>10</v>
      </c>
      <c r="F366">
        <v>17.169878000000001</v>
      </c>
      <c r="G366">
        <v>43.429000000000002</v>
      </c>
      <c r="H366">
        <f t="shared" si="77"/>
        <v>0.39535513136383521</v>
      </c>
      <c r="I366">
        <v>375.46850110000003</v>
      </c>
      <c r="J366">
        <f t="shared" si="78"/>
        <v>949.69932426263608</v>
      </c>
      <c r="K366" s="1">
        <v>1.57E-6</v>
      </c>
      <c r="L366" s="1">
        <f t="shared" si="79"/>
        <v>34148.31095810853</v>
      </c>
      <c r="M366" s="1">
        <f t="shared" si="80"/>
        <v>299139203.99303073</v>
      </c>
      <c r="N366">
        <f t="shared" si="81"/>
        <v>5607400323493230</v>
      </c>
      <c r="O366">
        <v>8.1280413629999995</v>
      </c>
      <c r="P366" s="1">
        <f t="shared" si="82"/>
        <v>1.9148324991324517E+20</v>
      </c>
      <c r="Q366" s="1">
        <f t="shared" si="83"/>
        <v>2.3558350820519215E+19</v>
      </c>
    </row>
    <row r="367" spans="1:17" x14ac:dyDescent="0.2">
      <c r="A367">
        <f t="shared" si="84"/>
        <v>366</v>
      </c>
      <c r="B367">
        <f t="shared" si="86"/>
        <v>142.85714285714286</v>
      </c>
      <c r="C367">
        <f t="shared" si="85"/>
        <v>366000</v>
      </c>
      <c r="E367" t="s">
        <v>11</v>
      </c>
      <c r="F367">
        <v>11.55343545</v>
      </c>
      <c r="G367">
        <v>43.429000000000002</v>
      </c>
      <c r="H367">
        <f t="shared" si="77"/>
        <v>0.26603042782472541</v>
      </c>
      <c r="I367">
        <v>375.46850110000003</v>
      </c>
      <c r="J367">
        <f t="shared" si="78"/>
        <v>1411.3742708686621</v>
      </c>
      <c r="K367" s="1">
        <v>1.75E-6</v>
      </c>
      <c r="L367" s="1">
        <f t="shared" si="79"/>
        <v>13871.348951606862</v>
      </c>
      <c r="M367" s="1">
        <f t="shared" si="80"/>
        <v>121513016.81607611</v>
      </c>
      <c r="N367">
        <f t="shared" si="81"/>
        <v>2.3621909416626448E+23</v>
      </c>
      <c r="O367">
        <v>3.991788321</v>
      </c>
      <c r="P367" s="1">
        <f t="shared" si="82"/>
        <v>3.2766774842127353E+27</v>
      </c>
      <c r="Q367" s="1">
        <f t="shared" si="83"/>
        <v>8.2085451950815886E+26</v>
      </c>
    </row>
    <row r="368" spans="1:17" x14ac:dyDescent="0.2">
      <c r="A368">
        <f t="shared" si="84"/>
        <v>367</v>
      </c>
      <c r="B368">
        <f t="shared" si="86"/>
        <v>142.85714285714286</v>
      </c>
      <c r="C368">
        <f t="shared" si="85"/>
        <v>367000</v>
      </c>
      <c r="E368" t="s">
        <v>11</v>
      </c>
      <c r="F368">
        <v>11.45190436</v>
      </c>
      <c r="G368">
        <v>43.429000000000002</v>
      </c>
      <c r="H368">
        <f t="shared" si="77"/>
        <v>0.26369256395496099</v>
      </c>
      <c r="I368">
        <v>633.33369760000005</v>
      </c>
      <c r="J368">
        <f t="shared" si="78"/>
        <v>2401.7882343780243</v>
      </c>
      <c r="K368" s="1">
        <v>1.79E-6</v>
      </c>
      <c r="L368" s="1">
        <f t="shared" si="79"/>
        <v>13324.068447934878</v>
      </c>
      <c r="M368" s="1">
        <f t="shared" si="80"/>
        <v>116718839.60390954</v>
      </c>
      <c r="N368">
        <f t="shared" si="81"/>
        <v>5.3701175093792157E+39</v>
      </c>
      <c r="O368">
        <v>4.9802311440000002</v>
      </c>
      <c r="P368" s="1">
        <f t="shared" si="82"/>
        <v>7.1551813268422244E+43</v>
      </c>
      <c r="Q368" s="1">
        <f t="shared" si="83"/>
        <v>1.4367167145369396E+43</v>
      </c>
    </row>
    <row r="369" spans="1:17" x14ac:dyDescent="0.2">
      <c r="A369">
        <f t="shared" si="84"/>
        <v>368</v>
      </c>
      <c r="B369">
        <f t="shared" si="86"/>
        <v>142.85714285714286</v>
      </c>
      <c r="C369">
        <f t="shared" si="85"/>
        <v>368000</v>
      </c>
      <c r="E369" t="s">
        <v>11</v>
      </c>
      <c r="F369">
        <v>11.470152860000001</v>
      </c>
      <c r="G369">
        <v>43.429000000000002</v>
      </c>
      <c r="H369">
        <f t="shared" si="77"/>
        <v>0.2641127555320178</v>
      </c>
      <c r="I369">
        <v>846.79158440000003</v>
      </c>
      <c r="J369">
        <f t="shared" si="78"/>
        <v>3206.1745094221524</v>
      </c>
      <c r="K369" s="1">
        <v>1.79E-6</v>
      </c>
      <c r="L369" s="1">
        <f t="shared" si="79"/>
        <v>13366.5658316801</v>
      </c>
      <c r="M369" s="1">
        <f t="shared" si="80"/>
        <v>117091116.68551767</v>
      </c>
      <c r="N369">
        <f t="shared" si="81"/>
        <v>1.0337336416256752E+53</v>
      </c>
      <c r="O369">
        <v>5.8774330900000002</v>
      </c>
      <c r="P369" s="1">
        <f t="shared" si="82"/>
        <v>1.3817468773211992E+57</v>
      </c>
      <c r="Q369" s="1">
        <f t="shared" si="83"/>
        <v>2.3509359547999534E+56</v>
      </c>
    </row>
    <row r="370" spans="1:17" x14ac:dyDescent="0.2">
      <c r="A370">
        <f t="shared" si="84"/>
        <v>369</v>
      </c>
      <c r="B370">
        <f t="shared" si="86"/>
        <v>142.85714285714286</v>
      </c>
      <c r="C370">
        <f t="shared" si="85"/>
        <v>369000</v>
      </c>
      <c r="E370" t="s">
        <v>11</v>
      </c>
      <c r="F370">
        <v>12.171262329999999</v>
      </c>
      <c r="G370">
        <v>43.429000000000002</v>
      </c>
      <c r="H370">
        <f t="shared" si="77"/>
        <v>0.2802565642773262</v>
      </c>
      <c r="I370">
        <v>502.01586959999997</v>
      </c>
      <c r="J370">
        <f t="shared" si="78"/>
        <v>1791.2724752567551</v>
      </c>
      <c r="K370" s="1">
        <v>1.5099999999999999E-6</v>
      </c>
      <c r="L370" s="1">
        <f t="shared" si="79"/>
        <v>17841.393009564345</v>
      </c>
      <c r="M370" s="1">
        <f t="shared" si="80"/>
        <v>156290602.76378366</v>
      </c>
      <c r="N370">
        <f t="shared" si="81"/>
        <v>4.4394279368431745E+29</v>
      </c>
      <c r="O370">
        <v>6.4476885639999999</v>
      </c>
      <c r="P370" s="1">
        <f t="shared" si="82"/>
        <v>7.9205578558858477E+33</v>
      </c>
      <c r="Q370" s="1">
        <f t="shared" si="83"/>
        <v>1.2284336901923987E+33</v>
      </c>
    </row>
    <row r="371" spans="1:17" x14ac:dyDescent="0.2">
      <c r="A371">
        <f t="shared" si="84"/>
        <v>370</v>
      </c>
      <c r="B371">
        <f t="shared" si="86"/>
        <v>142.85714285714286</v>
      </c>
      <c r="C371">
        <f t="shared" si="85"/>
        <v>370000</v>
      </c>
      <c r="E371" t="s">
        <v>11</v>
      </c>
      <c r="F371">
        <v>12.411735009999999</v>
      </c>
      <c r="G371">
        <v>43.429000000000002</v>
      </c>
      <c r="H371">
        <f t="shared" si="77"/>
        <v>0.2857937095028667</v>
      </c>
      <c r="I371">
        <v>671.21458289999998</v>
      </c>
      <c r="J371">
        <f t="shared" si="78"/>
        <v>2348.5981691744241</v>
      </c>
      <c r="K371" s="1">
        <v>1.42E-6</v>
      </c>
      <c r="L371" s="1">
        <f t="shared" si="79"/>
        <v>19729.274102995267</v>
      </c>
      <c r="M371" s="1">
        <f t="shared" si="80"/>
        <v>172828441.14223853</v>
      </c>
      <c r="N371">
        <f t="shared" si="81"/>
        <v>7.1047830205850311E+38</v>
      </c>
      <c r="O371">
        <v>6.2918187349999997</v>
      </c>
      <c r="P371" s="1">
        <f t="shared" si="82"/>
        <v>1.4017221165542873E+43</v>
      </c>
      <c r="Q371" s="1">
        <f t="shared" si="83"/>
        <v>2.2278488551439292E+42</v>
      </c>
    </row>
    <row r="372" spans="1:17" x14ac:dyDescent="0.2">
      <c r="A372">
        <f t="shared" si="84"/>
        <v>371</v>
      </c>
      <c r="B372">
        <f t="shared" si="86"/>
        <v>142.85714285714286</v>
      </c>
      <c r="C372">
        <f t="shared" si="85"/>
        <v>371000</v>
      </c>
      <c r="E372" t="s">
        <v>11</v>
      </c>
      <c r="F372">
        <v>12.39328845</v>
      </c>
      <c r="G372">
        <v>43.429000000000002</v>
      </c>
      <c r="H372">
        <f t="shared" si="77"/>
        <v>0.28536895737871004</v>
      </c>
      <c r="I372">
        <v>671.21458289999998</v>
      </c>
      <c r="J372">
        <f t="shared" si="78"/>
        <v>2352.0938964963816</v>
      </c>
      <c r="K372" s="1">
        <v>1.4300000000000001E-6</v>
      </c>
      <c r="L372" s="1">
        <f t="shared" si="79"/>
        <v>19533.116468214215</v>
      </c>
      <c r="M372" s="1">
        <f t="shared" si="80"/>
        <v>171110100.26155654</v>
      </c>
      <c r="N372">
        <f t="shared" si="81"/>
        <v>8.1148910423962925E+38</v>
      </c>
      <c r="O372">
        <v>5.3946167880000004</v>
      </c>
      <c r="P372" s="1">
        <f t="shared" si="82"/>
        <v>1.5850911185799504E+43</v>
      </c>
      <c r="Q372" s="1">
        <f t="shared" si="83"/>
        <v>2.938283071572183E+42</v>
      </c>
    </row>
    <row r="373" spans="1:17" x14ac:dyDescent="0.2">
      <c r="A373">
        <f t="shared" si="84"/>
        <v>372</v>
      </c>
      <c r="B373">
        <f t="shared" si="86"/>
        <v>142.85714285714286</v>
      </c>
      <c r="C373">
        <f t="shared" si="85"/>
        <v>372000</v>
      </c>
      <c r="E373" t="s">
        <v>11</v>
      </c>
      <c r="F373">
        <v>12.05401743</v>
      </c>
      <c r="G373">
        <v>43.429000000000002</v>
      </c>
      <c r="H373">
        <f t="shared" si="77"/>
        <v>0.27755687282691288</v>
      </c>
      <c r="I373">
        <v>502.01586959999997</v>
      </c>
      <c r="J373">
        <f t="shared" si="78"/>
        <v>1808.6955098138098</v>
      </c>
      <c r="K373" s="1">
        <v>1.55E-6</v>
      </c>
      <c r="L373" s="1">
        <f t="shared" si="79"/>
        <v>17047.723519441999</v>
      </c>
      <c r="M373" s="1">
        <f t="shared" si="80"/>
        <v>149338058.03031191</v>
      </c>
      <c r="N373">
        <f t="shared" si="81"/>
        <v>8.6112879745831775E+29</v>
      </c>
      <c r="O373">
        <v>4.1248479319999998</v>
      </c>
      <c r="P373" s="1">
        <f t="shared" si="82"/>
        <v>1.4680285653698968E+34</v>
      </c>
      <c r="Q373" s="1">
        <f t="shared" si="83"/>
        <v>3.5589883301663903E+33</v>
      </c>
    </row>
    <row r="374" spans="1:17" x14ac:dyDescent="0.2">
      <c r="A374">
        <f t="shared" si="84"/>
        <v>373</v>
      </c>
      <c r="B374">
        <f t="shared" si="86"/>
        <v>142.85714285714286</v>
      </c>
      <c r="C374">
        <f t="shared" si="85"/>
        <v>373000</v>
      </c>
      <c r="E374" t="s">
        <v>11</v>
      </c>
      <c r="F374">
        <v>12.20986415</v>
      </c>
      <c r="G374">
        <v>43.429000000000002</v>
      </c>
      <c r="H374">
        <f t="shared" si="77"/>
        <v>0.28114541320315917</v>
      </c>
      <c r="I374">
        <v>397.92598170000002</v>
      </c>
      <c r="J374">
        <f t="shared" si="78"/>
        <v>1415.3742619035856</v>
      </c>
      <c r="K374" s="1">
        <v>1.4899999999999999E-6</v>
      </c>
      <c r="L374" s="1">
        <f t="shared" si="79"/>
        <v>18195.745620305413</v>
      </c>
      <c r="M374" s="1">
        <f t="shared" si="80"/>
        <v>159394731.63387543</v>
      </c>
      <c r="N374">
        <f t="shared" si="81"/>
        <v>2.750266505606349E+23</v>
      </c>
      <c r="O374">
        <v>4.3605535279999996</v>
      </c>
      <c r="P374" s="1">
        <f t="shared" si="82"/>
        <v>5.00431497240594E+27</v>
      </c>
      <c r="Q374" s="1">
        <f t="shared" si="83"/>
        <v>1.1476329645473258E+27</v>
      </c>
    </row>
    <row r="375" spans="1:17" x14ac:dyDescent="0.2">
      <c r="A375">
        <f t="shared" si="84"/>
        <v>374</v>
      </c>
      <c r="B375">
        <f t="shared" si="86"/>
        <v>142.85714285714286</v>
      </c>
      <c r="C375">
        <f t="shared" si="85"/>
        <v>374000</v>
      </c>
      <c r="E375" t="s">
        <v>11</v>
      </c>
      <c r="F375">
        <v>12.263432630000001</v>
      </c>
      <c r="G375">
        <v>43.429000000000002</v>
      </c>
      <c r="H375">
        <f t="shared" si="77"/>
        <v>0.28237888576757464</v>
      </c>
      <c r="I375">
        <v>563.86484810000002</v>
      </c>
      <c r="J375">
        <f t="shared" si="78"/>
        <v>1996.8378533943071</v>
      </c>
      <c r="K375" s="1">
        <v>1.4699999999999999E-6</v>
      </c>
      <c r="L375" s="1">
        <f t="shared" si="79"/>
        <v>18605.494863045296</v>
      </c>
      <c r="M375" s="1">
        <f t="shared" si="80"/>
        <v>162984135.0002768</v>
      </c>
      <c r="N375">
        <f t="shared" si="81"/>
        <v>1.1021368731067311E+33</v>
      </c>
      <c r="O375">
        <v>4.5924574209999998</v>
      </c>
      <c r="P375" s="1">
        <f t="shared" si="82"/>
        <v>2.0505801930960092E+37</v>
      </c>
      <c r="Q375" s="1">
        <f t="shared" si="83"/>
        <v>4.4651044203900293E+36</v>
      </c>
    </row>
    <row r="376" spans="1:17" x14ac:dyDescent="0.2">
      <c r="A376">
        <f t="shared" si="84"/>
        <v>375</v>
      </c>
      <c r="B376">
        <f t="shared" si="86"/>
        <v>142.85714285714286</v>
      </c>
      <c r="C376">
        <f t="shared" si="85"/>
        <v>375000</v>
      </c>
      <c r="E376" t="s">
        <v>11</v>
      </c>
      <c r="F376">
        <v>11.7175876</v>
      </c>
      <c r="G376">
        <v>43.429000000000002</v>
      </c>
      <c r="H376">
        <f t="shared" si="77"/>
        <v>0.26981020976766673</v>
      </c>
      <c r="I376">
        <v>2273.3479900000002</v>
      </c>
      <c r="J376">
        <f t="shared" si="78"/>
        <v>8425.7300417118295</v>
      </c>
      <c r="K376" s="1">
        <v>1.68E-6</v>
      </c>
      <c r="L376" s="1">
        <f t="shared" si="79"/>
        <v>14862.832981036434</v>
      </c>
      <c r="M376" s="1">
        <f t="shared" si="80"/>
        <v>130198416.91387916</v>
      </c>
      <c r="N376">
        <f t="shared" si="81"/>
        <v>1.6416265349147786E+139</v>
      </c>
      <c r="O376">
        <v>5.3908150849999998</v>
      </c>
      <c r="P376" s="1">
        <f t="shared" si="82"/>
        <v>2.439922100567593E+143</v>
      </c>
      <c r="Q376" s="1">
        <f t="shared" si="83"/>
        <v>4.5260727034705796E+142</v>
      </c>
    </row>
    <row r="377" spans="1:17" x14ac:dyDescent="0.2">
      <c r="A377">
        <f t="shared" si="84"/>
        <v>376</v>
      </c>
      <c r="B377">
        <f t="shared" si="86"/>
        <v>142.85714285714286</v>
      </c>
      <c r="C377">
        <f t="shared" si="85"/>
        <v>376000</v>
      </c>
      <c r="E377" t="s">
        <v>11</v>
      </c>
      <c r="F377">
        <v>11.62493596</v>
      </c>
      <c r="G377">
        <v>43.429000000000002</v>
      </c>
      <c r="H377">
        <f t="shared" si="77"/>
        <v>0.26767680489995166</v>
      </c>
      <c r="I377">
        <v>532.04238750000002</v>
      </c>
      <c r="J377">
        <f t="shared" si="78"/>
        <v>1987.6297750149067</v>
      </c>
      <c r="K377" s="1">
        <v>1.72E-6</v>
      </c>
      <c r="L377" s="1">
        <f t="shared" si="79"/>
        <v>14288.516892637354</v>
      </c>
      <c r="M377" s="1">
        <f t="shared" si="80"/>
        <v>125167407.97950321</v>
      </c>
      <c r="N377">
        <f t="shared" si="81"/>
        <v>7.7654080861195063E+32</v>
      </c>
      <c r="O377">
        <v>5.1931265209999999</v>
      </c>
      <c r="P377" s="1">
        <f t="shared" si="82"/>
        <v>1.1095616461674128E+37</v>
      </c>
      <c r="Q377" s="1">
        <f t="shared" si="83"/>
        <v>2.13659659875522E+36</v>
      </c>
    </row>
    <row r="378" spans="1:17" x14ac:dyDescent="0.2">
      <c r="A378">
        <f t="shared" si="84"/>
        <v>377</v>
      </c>
      <c r="B378">
        <f t="shared" si="86"/>
        <v>142.85714285714286</v>
      </c>
      <c r="C378">
        <f t="shared" si="85"/>
        <v>377000</v>
      </c>
      <c r="E378" t="s">
        <v>11</v>
      </c>
      <c r="F378">
        <v>11.798644100000001</v>
      </c>
      <c r="G378">
        <v>43.429000000000002</v>
      </c>
      <c r="H378">
        <f t="shared" si="77"/>
        <v>0.27167662391489555</v>
      </c>
      <c r="I378">
        <v>502.01586959999997</v>
      </c>
      <c r="J378">
        <f t="shared" si="78"/>
        <v>1847.8434484567936</v>
      </c>
      <c r="K378" s="1">
        <v>1.6500000000000001E-6</v>
      </c>
      <c r="L378" s="1">
        <f t="shared" si="79"/>
        <v>15343.15665318539</v>
      </c>
      <c r="M378" s="1">
        <f t="shared" si="80"/>
        <v>134406052.28190401</v>
      </c>
      <c r="N378">
        <f t="shared" si="81"/>
        <v>3.8158879655866481E+30</v>
      </c>
      <c r="O378">
        <v>4.9992396589999997</v>
      </c>
      <c r="P378" s="1">
        <f t="shared" si="82"/>
        <v>5.8547766827000841E+34</v>
      </c>
      <c r="Q378" s="1">
        <f t="shared" si="83"/>
        <v>1.171133428692478E+34</v>
      </c>
    </row>
    <row r="379" spans="1:17" x14ac:dyDescent="0.2">
      <c r="A379">
        <f t="shared" si="84"/>
        <v>378</v>
      </c>
      <c r="B379">
        <f t="shared" si="86"/>
        <v>142.85714285714286</v>
      </c>
      <c r="C379">
        <f t="shared" si="85"/>
        <v>378000</v>
      </c>
      <c r="E379" t="s">
        <v>11</v>
      </c>
      <c r="F379">
        <v>12.13589872</v>
      </c>
      <c r="G379">
        <v>43.429000000000002</v>
      </c>
      <c r="H379">
        <f t="shared" si="77"/>
        <v>0.27944227866172372</v>
      </c>
      <c r="I379">
        <v>446.95095679999997</v>
      </c>
      <c r="J379">
        <f t="shared" si="78"/>
        <v>1599.4392793405909</v>
      </c>
      <c r="K379" s="1">
        <v>1.5200000000000001E-6</v>
      </c>
      <c r="L379" s="1">
        <f t="shared" si="79"/>
        <v>17621.170774048795</v>
      </c>
      <c r="M379" s="1">
        <f t="shared" si="80"/>
        <v>154361455.98066744</v>
      </c>
      <c r="N379">
        <f t="shared" si="81"/>
        <v>3.0144301944635707E+26</v>
      </c>
      <c r="O379">
        <v>5.1969282239999997</v>
      </c>
      <c r="P379" s="1">
        <f t="shared" si="82"/>
        <v>5.3117789243091692E+30</v>
      </c>
      <c r="Q379" s="1">
        <f t="shared" si="83"/>
        <v>1.0220997280237153E+30</v>
      </c>
    </row>
    <row r="380" spans="1:17" x14ac:dyDescent="0.2">
      <c r="A380">
        <f t="shared" si="84"/>
        <v>379</v>
      </c>
      <c r="B380">
        <f t="shared" si="86"/>
        <v>142.85714285714286</v>
      </c>
      <c r="C380">
        <f t="shared" si="85"/>
        <v>379000</v>
      </c>
      <c r="E380" t="s">
        <v>11</v>
      </c>
      <c r="F380">
        <v>12.19487756</v>
      </c>
      <c r="G380">
        <v>43.429000000000002</v>
      </c>
      <c r="H380">
        <f t="shared" si="77"/>
        <v>0.28080033065463167</v>
      </c>
      <c r="I380">
        <v>315.41848870000001</v>
      </c>
      <c r="J380">
        <f t="shared" si="78"/>
        <v>1123.2838934507763</v>
      </c>
      <c r="K380" s="1">
        <v>1.5E-6</v>
      </c>
      <c r="L380" s="1">
        <f t="shared" si="79"/>
        <v>18030.09814242828</v>
      </c>
      <c r="M380" s="1">
        <f t="shared" si="80"/>
        <v>157943659.72767174</v>
      </c>
      <c r="N380">
        <f t="shared" si="81"/>
        <v>4.1257945668706094E+18</v>
      </c>
      <c r="O380">
        <v>5.942062044</v>
      </c>
      <c r="P380" s="1">
        <f t="shared" si="82"/>
        <v>7.4388480956174468E+22</v>
      </c>
      <c r="Q380" s="1">
        <f t="shared" si="83"/>
        <v>1.2518967389660341E+22</v>
      </c>
    </row>
    <row r="381" spans="1:17" x14ac:dyDescent="0.2">
      <c r="A381">
        <f t="shared" si="84"/>
        <v>380</v>
      </c>
      <c r="B381">
        <f t="shared" si="86"/>
        <v>142.85714285714286</v>
      </c>
      <c r="C381">
        <f t="shared" si="85"/>
        <v>380000</v>
      </c>
      <c r="E381" t="s">
        <v>11</v>
      </c>
      <c r="F381">
        <v>12.37590995</v>
      </c>
      <c r="G381">
        <v>43.429000000000002</v>
      </c>
      <c r="H381">
        <f t="shared" si="77"/>
        <v>0.28496879849869905</v>
      </c>
      <c r="I381">
        <v>502.01586959999997</v>
      </c>
      <c r="J381">
        <f t="shared" si="78"/>
        <v>1761.6520553996434</v>
      </c>
      <c r="K381" s="1">
        <v>1.44E-6</v>
      </c>
      <c r="L381" s="1">
        <f t="shared" si="79"/>
        <v>19343.107728057435</v>
      </c>
      <c r="M381" s="1">
        <f t="shared" si="80"/>
        <v>169445623.69778314</v>
      </c>
      <c r="N381">
        <f t="shared" si="81"/>
        <v>1.4392833772999022E+29</v>
      </c>
      <c r="O381">
        <v>6.5275243310000004</v>
      </c>
      <c r="P381" s="1">
        <f t="shared" si="82"/>
        <v>2.7840213418314347E+33</v>
      </c>
      <c r="Q381" s="1">
        <f t="shared" si="83"/>
        <v>4.2650493520334831E+32</v>
      </c>
    </row>
    <row r="382" spans="1:17" x14ac:dyDescent="0.2">
      <c r="A382">
        <f t="shared" si="84"/>
        <v>381</v>
      </c>
      <c r="B382">
        <f t="shared" si="86"/>
        <v>142.85714285714286</v>
      </c>
      <c r="C382">
        <f t="shared" si="85"/>
        <v>381000</v>
      </c>
      <c r="E382" t="s">
        <v>11</v>
      </c>
      <c r="F382">
        <v>13.02548342</v>
      </c>
      <c r="G382">
        <v>43.429000000000002</v>
      </c>
      <c r="H382">
        <f t="shared" si="77"/>
        <v>0.29992593474406504</v>
      </c>
      <c r="I382">
        <v>753.90905290000001</v>
      </c>
      <c r="J382">
        <f t="shared" si="78"/>
        <v>2513.6507569554833</v>
      </c>
      <c r="K382" s="1">
        <v>1.24E-6</v>
      </c>
      <c r="L382" s="1">
        <f t="shared" si="79"/>
        <v>24882.870364444108</v>
      </c>
      <c r="M382" s="1">
        <f t="shared" si="80"/>
        <v>217973944.39253038</v>
      </c>
      <c r="N382">
        <f t="shared" si="81"/>
        <v>3.7791256953140791E+41</v>
      </c>
      <c r="O382">
        <v>8.4435827250000006</v>
      </c>
      <c r="P382" s="1">
        <f t="shared" si="82"/>
        <v>9.4035494767439927E+45</v>
      </c>
      <c r="Q382" s="1">
        <f t="shared" si="83"/>
        <v>1.1136918750025028E+45</v>
      </c>
    </row>
    <row r="383" spans="1:17" x14ac:dyDescent="0.2">
      <c r="A383">
        <f t="shared" si="84"/>
        <v>382</v>
      </c>
      <c r="B383">
        <f t="shared" si="86"/>
        <v>142.85714285714286</v>
      </c>
      <c r="C383">
        <f t="shared" si="85"/>
        <v>382000</v>
      </c>
      <c r="E383" t="s">
        <v>11</v>
      </c>
      <c r="F383">
        <v>12.978392360000001</v>
      </c>
      <c r="G383">
        <v>43.429000000000002</v>
      </c>
      <c r="H383">
        <f t="shared" si="77"/>
        <v>0.29884161182619912</v>
      </c>
      <c r="I383">
        <v>671.21458289999998</v>
      </c>
      <c r="J383">
        <f t="shared" si="78"/>
        <v>2246.0546200318522</v>
      </c>
      <c r="K383" s="1">
        <v>1.26E-6</v>
      </c>
      <c r="L383" s="1">
        <f t="shared" si="79"/>
        <v>24311.161883250854</v>
      </c>
      <c r="M383" s="1">
        <f t="shared" si="80"/>
        <v>212965778.09727749</v>
      </c>
      <c r="N383">
        <f t="shared" si="81"/>
        <v>1.438950816231233E+37</v>
      </c>
      <c r="O383">
        <v>8.9149939170000003</v>
      </c>
      <c r="P383" s="1">
        <f t="shared" si="82"/>
        <v>3.4982566235433453E+41</v>
      </c>
      <c r="Q383" s="1">
        <f t="shared" si="83"/>
        <v>3.924014593966823E+40</v>
      </c>
    </row>
    <row r="384" spans="1:17" x14ac:dyDescent="0.2">
      <c r="A384">
        <f t="shared" si="84"/>
        <v>383</v>
      </c>
      <c r="B384">
        <f t="shared" si="86"/>
        <v>142.85714285714286</v>
      </c>
      <c r="C384">
        <f t="shared" si="85"/>
        <v>383000</v>
      </c>
      <c r="E384" t="s">
        <v>11</v>
      </c>
      <c r="F384">
        <v>13.033954100000001</v>
      </c>
      <c r="G384">
        <v>43.429000000000002</v>
      </c>
      <c r="H384">
        <f t="shared" si="77"/>
        <v>0.30012098137189436</v>
      </c>
      <c r="I384">
        <v>846.79158440000003</v>
      </c>
      <c r="J384">
        <f t="shared" si="78"/>
        <v>2821.5007845476148</v>
      </c>
      <c r="K384" s="1">
        <v>1.24E-6</v>
      </c>
      <c r="L384" s="1">
        <f t="shared" si="79"/>
        <v>24915.244344074788</v>
      </c>
      <c r="M384" s="1">
        <f t="shared" si="80"/>
        <v>218257540.45409516</v>
      </c>
      <c r="N384">
        <f t="shared" si="81"/>
        <v>4.5870027898818596E+46</v>
      </c>
      <c r="O384">
        <v>8.9796228710000001</v>
      </c>
      <c r="P384" s="1">
        <f t="shared" si="82"/>
        <v>1.1428629531685928E+51</v>
      </c>
      <c r="Q384" s="1">
        <f t="shared" si="83"/>
        <v>1.2727293446359623E+50</v>
      </c>
    </row>
    <row r="385" spans="1:17" x14ac:dyDescent="0.2">
      <c r="A385">
        <f t="shared" si="84"/>
        <v>384</v>
      </c>
      <c r="B385">
        <f t="shared" si="86"/>
        <v>142.85714285714286</v>
      </c>
      <c r="C385">
        <f t="shared" si="85"/>
        <v>384000</v>
      </c>
      <c r="E385" t="s">
        <v>11</v>
      </c>
      <c r="F385">
        <v>12.94559669</v>
      </c>
      <c r="G385">
        <v>43.429000000000002</v>
      </c>
      <c r="H385">
        <f t="shared" si="77"/>
        <v>0.29808645582444909</v>
      </c>
      <c r="I385">
        <v>597.59067030000006</v>
      </c>
      <c r="J385">
        <f t="shared" si="78"/>
        <v>2004.7561994964872</v>
      </c>
      <c r="K385" s="1">
        <v>1.2699999999999999E-6</v>
      </c>
      <c r="L385" s="1">
        <f t="shared" si="79"/>
        <v>23997.990988245332</v>
      </c>
      <c r="M385" s="1">
        <f t="shared" si="80"/>
        <v>210222401.0570291</v>
      </c>
      <c r="N385">
        <f t="shared" si="81"/>
        <v>1.4893846576947473E+33</v>
      </c>
      <c r="O385">
        <v>8.439781022</v>
      </c>
      <c r="P385" s="1">
        <f t="shared" si="82"/>
        <v>3.5742239593389404E+37</v>
      </c>
      <c r="Q385" s="1">
        <f t="shared" si="83"/>
        <v>4.2349723885276184E+36</v>
      </c>
    </row>
    <row r="386" spans="1:17" x14ac:dyDescent="0.2">
      <c r="A386">
        <f t="shared" si="84"/>
        <v>385</v>
      </c>
      <c r="B386">
        <f t="shared" si="86"/>
        <v>142.85714285714286</v>
      </c>
      <c r="C386">
        <f t="shared" si="85"/>
        <v>385000</v>
      </c>
      <c r="E386" t="s">
        <v>11</v>
      </c>
      <c r="F386">
        <v>12.86089344</v>
      </c>
      <c r="G386">
        <v>43.429000000000002</v>
      </c>
      <c r="H386">
        <f t="shared" si="77"/>
        <v>0.29613607128877018</v>
      </c>
      <c r="I386">
        <v>397.92598170000002</v>
      </c>
      <c r="J386">
        <f t="shared" si="78"/>
        <v>1343.7268211476062</v>
      </c>
      <c r="K386" s="1">
        <v>1.2899999999999999E-6</v>
      </c>
      <c r="L386" s="1">
        <f t="shared" si="79"/>
        <v>23317.770885576141</v>
      </c>
      <c r="M386" s="1">
        <f t="shared" si="80"/>
        <v>204263672.957647</v>
      </c>
      <c r="N386">
        <f t="shared" si="81"/>
        <v>1.8035101243211229E+22</v>
      </c>
      <c r="O386">
        <v>8.4245742089999993</v>
      </c>
      <c r="P386" s="1">
        <f t="shared" si="82"/>
        <v>4.2053835868736884E+26</v>
      </c>
      <c r="Q386" s="1">
        <f t="shared" si="83"/>
        <v>4.9918054996548834E+25</v>
      </c>
    </row>
    <row r="387" spans="1:17" x14ac:dyDescent="0.2">
      <c r="A387">
        <f t="shared" si="84"/>
        <v>386</v>
      </c>
      <c r="B387">
        <f t="shared" si="86"/>
        <v>142.85714285714286</v>
      </c>
      <c r="C387">
        <f t="shared" si="85"/>
        <v>386000</v>
      </c>
      <c r="E387" t="s">
        <v>11</v>
      </c>
      <c r="F387">
        <v>12.82567783</v>
      </c>
      <c r="G387">
        <v>43.429000000000002</v>
      </c>
      <c r="H387">
        <f t="shared" ref="H387:H450" si="87">F387/43.429</f>
        <v>0.29532519353427433</v>
      </c>
      <c r="I387">
        <v>563.86484810000002</v>
      </c>
      <c r="J387">
        <f t="shared" ref="J387:J450" si="88">I387/H387</f>
        <v>1909.3015443484674</v>
      </c>
      <c r="K387" s="1">
        <v>1.3E-6</v>
      </c>
      <c r="L387" s="1">
        <f t="shared" ref="L387:L450" si="89">((H387^2)*0.343)/(K387)</f>
        <v>23011.862067744161</v>
      </c>
      <c r="M387" s="1">
        <f t="shared" ref="M387:M450" si="90">L387*8760</f>
        <v>201583911.71343884</v>
      </c>
      <c r="N387">
        <f t="shared" ref="N387:N450" si="91">EXP((J387+3.9052)/(26.297))</f>
        <v>3.9497987071980688E+31</v>
      </c>
      <c r="O387">
        <v>7.8885340629999998</v>
      </c>
      <c r="P387" s="1">
        <f t="shared" ref="P387:P450" si="92">L387*N387</f>
        <v>9.0892223045396163E+35</v>
      </c>
      <c r="Q387" s="1">
        <f t="shared" ref="Q387:Q450" si="93">P387/O387</f>
        <v>1.1522067638867489E+35</v>
      </c>
    </row>
    <row r="388" spans="1:17" x14ac:dyDescent="0.2">
      <c r="A388">
        <f t="shared" ref="A388:A451" si="94">A387+1</f>
        <v>387</v>
      </c>
      <c r="B388">
        <f t="shared" si="86"/>
        <v>142.85714285714286</v>
      </c>
      <c r="C388">
        <f t="shared" ref="C388:C451" si="95">C387+1000</f>
        <v>387000</v>
      </c>
      <c r="E388" t="s">
        <v>11</v>
      </c>
      <c r="F388">
        <v>13.2609599</v>
      </c>
      <c r="G388">
        <v>43.429000000000002</v>
      </c>
      <c r="H388">
        <f t="shared" si="87"/>
        <v>0.30534803702595037</v>
      </c>
      <c r="I388">
        <v>532.04238750000002</v>
      </c>
      <c r="J388">
        <f t="shared" si="88"/>
        <v>1742.4129943065059</v>
      </c>
      <c r="K388" s="1">
        <v>1.1799999999999999E-6</v>
      </c>
      <c r="L388" s="1">
        <f t="shared" si="89"/>
        <v>27102.064690212886</v>
      </c>
      <c r="M388" s="1">
        <f t="shared" si="90"/>
        <v>237414086.68626487</v>
      </c>
      <c r="N388">
        <f t="shared" si="91"/>
        <v>6.9249008850510778E+28</v>
      </c>
      <c r="O388">
        <v>9.8616180050000004</v>
      </c>
      <c r="P388" s="1">
        <f t="shared" si="92"/>
        <v>1.8767911175996679E+33</v>
      </c>
      <c r="Q388" s="1">
        <f t="shared" si="93"/>
        <v>1.903126968260284E+32</v>
      </c>
    </row>
    <row r="389" spans="1:17" x14ac:dyDescent="0.2">
      <c r="A389">
        <f t="shared" si="94"/>
        <v>388</v>
      </c>
      <c r="B389">
        <f t="shared" si="86"/>
        <v>142.85714285714286</v>
      </c>
      <c r="C389">
        <f t="shared" si="95"/>
        <v>388000</v>
      </c>
      <c r="E389" t="s">
        <v>11</v>
      </c>
      <c r="F389">
        <v>13.27829736</v>
      </c>
      <c r="G389">
        <v>43.429000000000002</v>
      </c>
      <c r="H389">
        <f t="shared" si="87"/>
        <v>0.30574725091528698</v>
      </c>
      <c r="I389">
        <v>1132.1930130000001</v>
      </c>
      <c r="J389">
        <f t="shared" si="88"/>
        <v>3703.0357905448359</v>
      </c>
      <c r="K389" s="1">
        <v>1.1799999999999999E-6</v>
      </c>
      <c r="L389" s="1">
        <f t="shared" si="89"/>
        <v>27172.977826011549</v>
      </c>
      <c r="M389" s="1">
        <f t="shared" si="90"/>
        <v>238035285.75586116</v>
      </c>
      <c r="N389">
        <f t="shared" si="91"/>
        <v>1.6598306085389605E+61</v>
      </c>
      <c r="O389">
        <v>10.8196472</v>
      </c>
      <c r="P389" s="1">
        <f t="shared" si="92"/>
        <v>4.5102540320764428E+65</v>
      </c>
      <c r="Q389" s="1">
        <f t="shared" si="93"/>
        <v>4.1685777259691451E+64</v>
      </c>
    </row>
    <row r="390" spans="1:17" x14ac:dyDescent="0.2">
      <c r="A390">
        <f t="shared" si="94"/>
        <v>389</v>
      </c>
      <c r="B390">
        <f t="shared" si="86"/>
        <v>142.85714285714286</v>
      </c>
      <c r="C390">
        <f t="shared" si="95"/>
        <v>389000</v>
      </c>
      <c r="E390" t="s">
        <v>11</v>
      </c>
      <c r="F390">
        <v>13.20374546</v>
      </c>
      <c r="G390">
        <v>43.429000000000002</v>
      </c>
      <c r="H390">
        <f t="shared" si="87"/>
        <v>0.30403061226369477</v>
      </c>
      <c r="I390">
        <v>421.72668670000002</v>
      </c>
      <c r="J390">
        <f t="shared" si="88"/>
        <v>1387.1191573769024</v>
      </c>
      <c r="K390" s="1">
        <v>1.1999999999999999E-6</v>
      </c>
      <c r="L390" s="1">
        <f t="shared" si="89"/>
        <v>26420.893604457444</v>
      </c>
      <c r="M390" s="1">
        <f t="shared" si="90"/>
        <v>231447027.9750472</v>
      </c>
      <c r="N390">
        <f t="shared" si="91"/>
        <v>9.3916572992617149E+22</v>
      </c>
      <c r="O390">
        <v>11.34428224</v>
      </c>
      <c r="P390" s="1">
        <f t="shared" si="92"/>
        <v>2.4813597827331992E+27</v>
      </c>
      <c r="Q390" s="1">
        <f t="shared" si="93"/>
        <v>2.1873219743986191E+26</v>
      </c>
    </row>
    <row r="391" spans="1:17" x14ac:dyDescent="0.2">
      <c r="A391">
        <f t="shared" si="94"/>
        <v>390</v>
      </c>
      <c r="B391">
        <f t="shared" si="86"/>
        <v>142.85714285714286</v>
      </c>
      <c r="C391">
        <f t="shared" si="95"/>
        <v>390000</v>
      </c>
      <c r="E391" t="s">
        <v>11</v>
      </c>
      <c r="F391">
        <v>12.735175890000001</v>
      </c>
      <c r="G391">
        <v>43.429000000000002</v>
      </c>
      <c r="H391">
        <f t="shared" si="87"/>
        <v>0.29324128784913306</v>
      </c>
      <c r="I391">
        <v>597.59067030000006</v>
      </c>
      <c r="J391">
        <f t="shared" si="88"/>
        <v>2037.8803908658622</v>
      </c>
      <c r="K391" s="1">
        <v>1.33E-6</v>
      </c>
      <c r="L391" s="1">
        <f t="shared" si="89"/>
        <v>22176.485221428884</v>
      </c>
      <c r="M391" s="1">
        <f t="shared" si="90"/>
        <v>194266010.53971702</v>
      </c>
      <c r="N391">
        <f t="shared" si="91"/>
        <v>5.2487066453618103E+33</v>
      </c>
      <c r="O391">
        <v>4.3567518249999999</v>
      </c>
      <c r="P391" s="1">
        <f t="shared" si="92"/>
        <v>1.1639786535248177E+38</v>
      </c>
      <c r="Q391" s="1">
        <f t="shared" si="93"/>
        <v>2.671666186826737E+37</v>
      </c>
    </row>
    <row r="392" spans="1:17" x14ac:dyDescent="0.2">
      <c r="A392">
        <f t="shared" si="94"/>
        <v>391</v>
      </c>
      <c r="B392">
        <f t="shared" si="86"/>
        <v>142.85714285714286</v>
      </c>
      <c r="C392">
        <f t="shared" si="95"/>
        <v>391000</v>
      </c>
      <c r="E392" t="s">
        <v>11</v>
      </c>
      <c r="F392">
        <v>12.603440259999999</v>
      </c>
      <c r="G392">
        <v>43.429000000000002</v>
      </c>
      <c r="H392">
        <f t="shared" si="87"/>
        <v>0.29020793156646479</v>
      </c>
      <c r="I392">
        <v>597.59067030000006</v>
      </c>
      <c r="J392">
        <f t="shared" si="88"/>
        <v>2059.1810398646426</v>
      </c>
      <c r="K392" s="1">
        <v>1.3599999999999999E-6</v>
      </c>
      <c r="L392" s="1">
        <f t="shared" si="89"/>
        <v>21240.941717368729</v>
      </c>
      <c r="M392" s="1">
        <f t="shared" si="90"/>
        <v>186070649.44415006</v>
      </c>
      <c r="N392">
        <f t="shared" si="91"/>
        <v>1.1798645032070348E+34</v>
      </c>
      <c r="O392">
        <v>4.2008819949999996</v>
      </c>
      <c r="P392" s="1">
        <f t="shared" si="92"/>
        <v>2.5061433147012834E+38</v>
      </c>
      <c r="Q392" s="1">
        <f t="shared" si="93"/>
        <v>5.9657550906789604E+37</v>
      </c>
    </row>
    <row r="393" spans="1:17" x14ac:dyDescent="0.2">
      <c r="A393">
        <f t="shared" si="94"/>
        <v>392</v>
      </c>
      <c r="B393">
        <f t="shared" si="86"/>
        <v>142.85714285714286</v>
      </c>
      <c r="C393">
        <f t="shared" si="95"/>
        <v>392000</v>
      </c>
      <c r="E393" t="s">
        <v>11</v>
      </c>
      <c r="F393">
        <v>12.23369396</v>
      </c>
      <c r="G393">
        <v>43.429000000000002</v>
      </c>
      <c r="H393">
        <f t="shared" si="87"/>
        <v>0.28169412051854753</v>
      </c>
      <c r="I393">
        <v>671.21458289999998</v>
      </c>
      <c r="J393">
        <f t="shared" si="88"/>
        <v>2382.7781057851553</v>
      </c>
      <c r="K393" s="1">
        <v>1.48E-6</v>
      </c>
      <c r="L393" s="1">
        <f t="shared" si="89"/>
        <v>18390.264252978563</v>
      </c>
      <c r="M393" s="1">
        <f t="shared" si="90"/>
        <v>161098714.85609221</v>
      </c>
      <c r="N393">
        <f t="shared" si="91"/>
        <v>2.6063447295585383E+39</v>
      </c>
      <c r="O393">
        <v>4.786344282</v>
      </c>
      <c r="P393" s="1">
        <f t="shared" si="92"/>
        <v>4.793136831093947E+43</v>
      </c>
      <c r="Q393" s="1">
        <f t="shared" si="93"/>
        <v>1.0014191517980627E+43</v>
      </c>
    </row>
    <row r="394" spans="1:17" x14ac:dyDescent="0.2">
      <c r="A394">
        <f t="shared" si="94"/>
        <v>393</v>
      </c>
      <c r="B394">
        <f t="shared" si="86"/>
        <v>142.85714285714286</v>
      </c>
      <c r="C394">
        <f t="shared" si="95"/>
        <v>393000</v>
      </c>
      <c r="E394" t="s">
        <v>11</v>
      </c>
      <c r="F394">
        <v>12.57850444</v>
      </c>
      <c r="G394">
        <v>43.429000000000002</v>
      </c>
      <c r="H394">
        <f t="shared" si="87"/>
        <v>0.28963375716687007</v>
      </c>
      <c r="I394">
        <v>597.59067030000006</v>
      </c>
      <c r="J394">
        <f t="shared" si="88"/>
        <v>2063.2631919203504</v>
      </c>
      <c r="K394" s="1">
        <v>1.37E-6</v>
      </c>
      <c r="L394" s="1">
        <f t="shared" si="89"/>
        <v>21002.544276405057</v>
      </c>
      <c r="M394" s="1">
        <f t="shared" si="90"/>
        <v>183982287.86130831</v>
      </c>
      <c r="N394">
        <f t="shared" si="91"/>
        <v>1.3779986849830603E+34</v>
      </c>
      <c r="O394">
        <v>5.0448600969999999</v>
      </c>
      <c r="P394" s="1">
        <f t="shared" si="92"/>
        <v>2.8941478394184669E+38</v>
      </c>
      <c r="Q394" s="1">
        <f t="shared" si="93"/>
        <v>5.736824775655354E+37</v>
      </c>
    </row>
    <row r="395" spans="1:17" x14ac:dyDescent="0.2">
      <c r="A395">
        <f t="shared" si="94"/>
        <v>394</v>
      </c>
      <c r="B395">
        <f t="shared" si="86"/>
        <v>142.85714285714286</v>
      </c>
      <c r="C395">
        <f t="shared" si="95"/>
        <v>394000</v>
      </c>
      <c r="E395" t="s">
        <v>11</v>
      </c>
      <c r="F395">
        <v>12.836182669999999</v>
      </c>
      <c r="G395">
        <v>43.429000000000002</v>
      </c>
      <c r="H395">
        <f t="shared" si="87"/>
        <v>0.29556707891040546</v>
      </c>
      <c r="I395">
        <v>597.59067030000006</v>
      </c>
      <c r="J395">
        <f t="shared" si="88"/>
        <v>2021.8444912843161</v>
      </c>
      <c r="K395" s="1">
        <v>1.3E-6</v>
      </c>
      <c r="L395" s="1">
        <f t="shared" si="89"/>
        <v>23049.573123477723</v>
      </c>
      <c r="M395" s="1">
        <f t="shared" si="90"/>
        <v>201914260.56166485</v>
      </c>
      <c r="N395">
        <f t="shared" si="91"/>
        <v>2.8524609473615758E+33</v>
      </c>
      <c r="O395">
        <v>5.0790754260000002</v>
      </c>
      <c r="P395" s="1">
        <f t="shared" si="92"/>
        <v>6.5748007188075185E+37</v>
      </c>
      <c r="Q395" s="1">
        <f t="shared" si="93"/>
        <v>1.2944877103322463E+37</v>
      </c>
    </row>
    <row r="396" spans="1:17" x14ac:dyDescent="0.2">
      <c r="A396">
        <f t="shared" si="94"/>
        <v>395</v>
      </c>
      <c r="B396">
        <f t="shared" si="86"/>
        <v>142.85714285714286</v>
      </c>
      <c r="C396">
        <f t="shared" si="95"/>
        <v>395000</v>
      </c>
      <c r="E396" t="s">
        <v>11</v>
      </c>
      <c r="F396">
        <v>13.024916109999999</v>
      </c>
      <c r="G396">
        <v>43.429000000000002</v>
      </c>
      <c r="H396">
        <f t="shared" si="87"/>
        <v>0.29991287181376497</v>
      </c>
      <c r="I396">
        <v>563.86484810000002</v>
      </c>
      <c r="J396">
        <f t="shared" si="88"/>
        <v>1880.0955247100553</v>
      </c>
      <c r="K396" s="1">
        <v>1.2500000000000001E-6</v>
      </c>
      <c r="L396" s="1">
        <f t="shared" si="89"/>
        <v>24681.657298476701</v>
      </c>
      <c r="M396" s="1">
        <f t="shared" si="90"/>
        <v>216211317.9346559</v>
      </c>
      <c r="N396">
        <f t="shared" si="91"/>
        <v>1.3008825090111935E+31</v>
      </c>
      <c r="O396">
        <v>5.6303223840000003</v>
      </c>
      <c r="P396" s="1">
        <f t="shared" si="92"/>
        <v>3.2107936272996807E+35</v>
      </c>
      <c r="Q396" s="1">
        <f t="shared" si="93"/>
        <v>5.7026816731204794E+34</v>
      </c>
    </row>
    <row r="397" spans="1:17" x14ac:dyDescent="0.2">
      <c r="A397">
        <f t="shared" si="94"/>
        <v>396</v>
      </c>
      <c r="B397">
        <f t="shared" si="86"/>
        <v>142.85714285714286</v>
      </c>
      <c r="C397">
        <f t="shared" si="95"/>
        <v>396000</v>
      </c>
      <c r="E397" t="s">
        <v>11</v>
      </c>
      <c r="F397">
        <v>13.32810789</v>
      </c>
      <c r="G397">
        <v>43.429000000000002</v>
      </c>
      <c r="H397">
        <f t="shared" si="87"/>
        <v>0.30689419259020467</v>
      </c>
      <c r="I397">
        <v>753.90905290000001</v>
      </c>
      <c r="J397">
        <f t="shared" si="88"/>
        <v>2456.5764719656768</v>
      </c>
      <c r="K397" s="1">
        <v>1.17E-6</v>
      </c>
      <c r="L397" s="1">
        <f t="shared" si="89"/>
        <v>27611.220160545829</v>
      </c>
      <c r="M397" s="1">
        <f t="shared" si="90"/>
        <v>241874288.60638145</v>
      </c>
      <c r="N397">
        <f t="shared" si="91"/>
        <v>4.3133087576317208E+40</v>
      </c>
      <c r="O397">
        <v>7.0141423359999999</v>
      </c>
      <c r="P397" s="1">
        <f t="shared" si="92"/>
        <v>1.1909571772737985E+45</v>
      </c>
      <c r="Q397" s="1">
        <f t="shared" si="93"/>
        <v>1.6979369967461672E+44</v>
      </c>
    </row>
    <row r="398" spans="1:17" x14ac:dyDescent="0.2">
      <c r="A398">
        <f t="shared" si="94"/>
        <v>397</v>
      </c>
      <c r="B398">
        <f t="shared" si="86"/>
        <v>142.85714285714286</v>
      </c>
      <c r="C398">
        <f t="shared" si="95"/>
        <v>397000</v>
      </c>
      <c r="E398" t="s">
        <v>11</v>
      </c>
      <c r="F398">
        <v>13.38929736</v>
      </c>
      <c r="G398">
        <v>43.429000000000002</v>
      </c>
      <c r="H398">
        <f t="shared" si="87"/>
        <v>0.30830314674526238</v>
      </c>
      <c r="I398">
        <v>473.68393809999998</v>
      </c>
      <c r="J398">
        <f t="shared" si="88"/>
        <v>1536.4226512140813</v>
      </c>
      <c r="K398" s="1">
        <v>1.15E-6</v>
      </c>
      <c r="L398" s="1">
        <f t="shared" si="89"/>
        <v>28349.943296095269</v>
      </c>
      <c r="M398" s="1">
        <f t="shared" si="90"/>
        <v>248345503.27379456</v>
      </c>
      <c r="N398">
        <f t="shared" si="91"/>
        <v>2.7446486144970889E+25</v>
      </c>
      <c r="O398">
        <v>7.8695255470000003</v>
      </c>
      <c r="P398" s="1">
        <f t="shared" si="92"/>
        <v>7.781063258869891E+29</v>
      </c>
      <c r="Q398" s="1">
        <f t="shared" si="93"/>
        <v>9.8875887909610612E+28</v>
      </c>
    </row>
    <row r="399" spans="1:17" x14ac:dyDescent="0.2">
      <c r="A399">
        <f t="shared" si="94"/>
        <v>398</v>
      </c>
      <c r="B399">
        <f t="shared" si="86"/>
        <v>142.85714285714286</v>
      </c>
      <c r="C399">
        <f t="shared" si="95"/>
        <v>398000</v>
      </c>
      <c r="E399" t="s">
        <v>11</v>
      </c>
      <c r="F399">
        <v>13.29136059</v>
      </c>
      <c r="G399">
        <v>43.429000000000002</v>
      </c>
      <c r="H399">
        <f t="shared" si="87"/>
        <v>0.30604804600612495</v>
      </c>
      <c r="I399">
        <v>563.86484810000002</v>
      </c>
      <c r="J399">
        <f t="shared" si="88"/>
        <v>1842.4063001164052</v>
      </c>
      <c r="K399" s="1">
        <v>1.1799999999999999E-6</v>
      </c>
      <c r="L399" s="1">
        <f t="shared" si="89"/>
        <v>27226.469845092663</v>
      </c>
      <c r="M399" s="1">
        <f t="shared" si="90"/>
        <v>238503875.84301174</v>
      </c>
      <c r="N399">
        <f t="shared" si="91"/>
        <v>3.1031388484463696E+30</v>
      </c>
      <c r="O399">
        <v>8.5652372260000007</v>
      </c>
      <c r="P399" s="1">
        <f t="shared" si="92"/>
        <v>8.4487516282360645E+34</v>
      </c>
      <c r="Q399" s="1">
        <f t="shared" si="93"/>
        <v>9.8640019013012959E+33</v>
      </c>
    </row>
    <row r="400" spans="1:17" x14ac:dyDescent="0.2">
      <c r="A400">
        <f t="shared" si="94"/>
        <v>399</v>
      </c>
      <c r="B400">
        <f t="shared" si="86"/>
        <v>142.85714285714286</v>
      </c>
      <c r="C400">
        <f t="shared" si="95"/>
        <v>399000</v>
      </c>
      <c r="E400" t="s">
        <v>11</v>
      </c>
      <c r="F400">
        <v>13.222278879999999</v>
      </c>
      <c r="G400">
        <v>43.429000000000002</v>
      </c>
      <c r="H400">
        <f t="shared" si="87"/>
        <v>0.30445736443390359</v>
      </c>
      <c r="I400">
        <v>563.86484810000002</v>
      </c>
      <c r="J400">
        <f t="shared" si="88"/>
        <v>1852.0322185289517</v>
      </c>
      <c r="K400" s="1">
        <v>1.19E-6</v>
      </c>
      <c r="L400" s="1">
        <f t="shared" si="89"/>
        <v>26717.765006728823</v>
      </c>
      <c r="M400" s="1">
        <f t="shared" si="90"/>
        <v>234047621.4589445</v>
      </c>
      <c r="N400">
        <f t="shared" si="91"/>
        <v>4.4747943156512493E+30</v>
      </c>
      <c r="O400">
        <v>10.40906326</v>
      </c>
      <c r="P400" s="1">
        <f t="shared" si="92"/>
        <v>1.1955650297901601E+35</v>
      </c>
      <c r="Q400" s="1">
        <f t="shared" si="93"/>
        <v>1.1485808087885134E+34</v>
      </c>
    </row>
    <row r="401" spans="1:17" x14ac:dyDescent="0.2">
      <c r="A401">
        <f t="shared" si="94"/>
        <v>400</v>
      </c>
      <c r="B401">
        <f>3000/21</f>
        <v>142.85714285714286</v>
      </c>
      <c r="C401">
        <f t="shared" si="95"/>
        <v>400000</v>
      </c>
      <c r="E401" t="s">
        <v>11</v>
      </c>
      <c r="F401">
        <v>12.985444319999999</v>
      </c>
      <c r="G401">
        <v>43.429000000000002</v>
      </c>
      <c r="H401">
        <f t="shared" si="87"/>
        <v>0.2990039908816689</v>
      </c>
      <c r="I401">
        <v>597.59067030000006</v>
      </c>
      <c r="J401">
        <f t="shared" si="88"/>
        <v>1998.6043281157979</v>
      </c>
      <c r="K401" s="1">
        <v>1.26E-6</v>
      </c>
      <c r="L401" s="1">
        <f t="shared" si="89"/>
        <v>24337.588564417179</v>
      </c>
      <c r="M401" s="1">
        <f t="shared" si="90"/>
        <v>213197275.82429448</v>
      </c>
      <c r="N401">
        <f t="shared" si="91"/>
        <v>1.1787150552688333E+33</v>
      </c>
      <c r="O401">
        <v>12.705291969999999</v>
      </c>
      <c r="P401" s="1">
        <f t="shared" si="92"/>
        <v>2.8687082049817122E+37</v>
      </c>
      <c r="Q401" s="1">
        <f t="shared" si="93"/>
        <v>2.2578845191085462E+36</v>
      </c>
    </row>
    <row r="402" spans="1:17" x14ac:dyDescent="0.2">
      <c r="A402">
        <f t="shared" si="94"/>
        <v>401</v>
      </c>
      <c r="B402">
        <f t="shared" ref="B402:B409" si="96">3000/21</f>
        <v>142.85714285714286</v>
      </c>
      <c r="C402">
        <f t="shared" si="95"/>
        <v>401000</v>
      </c>
      <c r="E402" t="s">
        <v>11</v>
      </c>
      <c r="F402">
        <v>13.012372149999999</v>
      </c>
      <c r="G402">
        <v>43.429000000000002</v>
      </c>
      <c r="H402">
        <f t="shared" si="87"/>
        <v>0.29962403347993272</v>
      </c>
      <c r="I402">
        <v>711.36119550000001</v>
      </c>
      <c r="J402">
        <f t="shared" si="88"/>
        <v>2374.179358171024</v>
      </c>
      <c r="K402" s="1">
        <v>1.2500000000000001E-6</v>
      </c>
      <c r="L402" s="1">
        <f t="shared" si="89"/>
        <v>24634.139658802287</v>
      </c>
      <c r="M402" s="1">
        <f t="shared" si="90"/>
        <v>215795063.41110805</v>
      </c>
      <c r="N402">
        <f t="shared" si="91"/>
        <v>1.8794193555837233E+39</v>
      </c>
      <c r="O402">
        <v>12.705291969999999</v>
      </c>
      <c r="P402" s="1">
        <f t="shared" si="92"/>
        <v>4.6297878882905631E+43</v>
      </c>
      <c r="Q402" s="1">
        <f t="shared" si="93"/>
        <v>3.6439838606011693E+42</v>
      </c>
    </row>
    <row r="403" spans="1:17" x14ac:dyDescent="0.2">
      <c r="A403">
        <f t="shared" si="94"/>
        <v>402</v>
      </c>
      <c r="B403">
        <f t="shared" si="96"/>
        <v>142.85714285714286</v>
      </c>
      <c r="C403">
        <f t="shared" si="95"/>
        <v>402000</v>
      </c>
      <c r="E403" t="s">
        <v>11</v>
      </c>
      <c r="F403">
        <v>12.91323468</v>
      </c>
      <c r="G403">
        <v>43.429000000000002</v>
      </c>
      <c r="H403">
        <f t="shared" si="87"/>
        <v>0.2973412853162633</v>
      </c>
      <c r="I403">
        <v>1347.7422180000001</v>
      </c>
      <c r="J403">
        <f t="shared" si="88"/>
        <v>4532.6440846130436</v>
      </c>
      <c r="K403" s="1">
        <v>1.28E-6</v>
      </c>
      <c r="L403" s="1">
        <f t="shared" si="89"/>
        <v>23691.610237546822</v>
      </c>
      <c r="M403" s="1">
        <f t="shared" si="90"/>
        <v>207538505.68091017</v>
      </c>
      <c r="N403">
        <f t="shared" si="91"/>
        <v>8.3373843066167288E+74</v>
      </c>
      <c r="O403">
        <v>13.11587591</v>
      </c>
      <c r="P403" s="1">
        <f t="shared" si="92"/>
        <v>1.9752605939300311E+79</v>
      </c>
      <c r="Q403" s="1">
        <f t="shared" si="93"/>
        <v>1.5060073818051479E+78</v>
      </c>
    </row>
    <row r="404" spans="1:17" x14ac:dyDescent="0.2">
      <c r="A404">
        <f t="shared" si="94"/>
        <v>403</v>
      </c>
      <c r="B404">
        <f t="shared" si="96"/>
        <v>142.85714285714286</v>
      </c>
      <c r="C404">
        <f t="shared" si="95"/>
        <v>403000</v>
      </c>
      <c r="E404" t="s">
        <v>11</v>
      </c>
      <c r="F404">
        <v>12.785812099999999</v>
      </c>
      <c r="G404">
        <v>43.429000000000002</v>
      </c>
      <c r="H404">
        <f t="shared" si="87"/>
        <v>0.29440724170485155</v>
      </c>
      <c r="I404">
        <v>2409.32123</v>
      </c>
      <c r="J404">
        <f t="shared" si="88"/>
        <v>8183.6343971979704</v>
      </c>
      <c r="K404" s="1">
        <v>1.31E-6</v>
      </c>
      <c r="L404" s="1">
        <f t="shared" si="89"/>
        <v>22694.457268025039</v>
      </c>
      <c r="M404" s="1">
        <f t="shared" si="90"/>
        <v>198803445.66789934</v>
      </c>
      <c r="N404">
        <f t="shared" si="91"/>
        <v>1.648424837573097E+135</v>
      </c>
      <c r="O404">
        <v>13.613899030000001</v>
      </c>
      <c r="P404" s="1">
        <f t="shared" si="92"/>
        <v>3.7410107035853765E+139</v>
      </c>
      <c r="Q404" s="1">
        <f t="shared" si="93"/>
        <v>2.7479348093750159E+138</v>
      </c>
    </row>
    <row r="405" spans="1:17" x14ac:dyDescent="0.2">
      <c r="A405">
        <f t="shared" si="94"/>
        <v>404</v>
      </c>
      <c r="B405">
        <f t="shared" si="96"/>
        <v>142.85714285714286</v>
      </c>
      <c r="C405">
        <f t="shared" si="95"/>
        <v>404000</v>
      </c>
      <c r="E405" t="s">
        <v>11</v>
      </c>
      <c r="F405">
        <v>12.724279859999999</v>
      </c>
      <c r="G405">
        <v>43.429000000000002</v>
      </c>
      <c r="H405">
        <f t="shared" si="87"/>
        <v>0.29299039489741874</v>
      </c>
      <c r="I405">
        <v>563.86484810000002</v>
      </c>
      <c r="J405">
        <f t="shared" si="88"/>
        <v>1924.5164958305863</v>
      </c>
      <c r="K405" s="1">
        <v>1.33E-6</v>
      </c>
      <c r="L405" s="1">
        <f t="shared" si="89"/>
        <v>22138.553703184865</v>
      </c>
      <c r="M405" s="1">
        <f t="shared" si="90"/>
        <v>193933730.43989941</v>
      </c>
      <c r="N405">
        <f t="shared" si="91"/>
        <v>7.044490914311664E+31</v>
      </c>
      <c r="O405">
        <v>14.397049880000001</v>
      </c>
      <c r="P405" s="1">
        <f t="shared" si="92"/>
        <v>1.5595484041808663E+36</v>
      </c>
      <c r="Q405" s="1">
        <f t="shared" si="93"/>
        <v>1.0832416482402756E+35</v>
      </c>
    </row>
    <row r="406" spans="1:17" x14ac:dyDescent="0.2">
      <c r="A406">
        <f t="shared" si="94"/>
        <v>405</v>
      </c>
      <c r="B406">
        <f t="shared" si="96"/>
        <v>142.85714285714286</v>
      </c>
      <c r="C406">
        <f t="shared" si="95"/>
        <v>405000</v>
      </c>
      <c r="E406" t="s">
        <v>11</v>
      </c>
      <c r="F406">
        <v>12.551331449999999</v>
      </c>
      <c r="G406">
        <v>43.429000000000002</v>
      </c>
      <c r="H406">
        <f t="shared" si="87"/>
        <v>0.28900806949273522</v>
      </c>
      <c r="I406">
        <v>421.72668670000002</v>
      </c>
      <c r="J406">
        <f t="shared" si="88"/>
        <v>1459.2211471472458</v>
      </c>
      <c r="K406" s="1">
        <v>1.3799999999999999E-6</v>
      </c>
      <c r="L406" s="1">
        <f t="shared" si="89"/>
        <v>20760.364370686784</v>
      </c>
      <c r="M406" s="1">
        <f t="shared" si="90"/>
        <v>181860791.88721624</v>
      </c>
      <c r="N406">
        <f t="shared" si="91"/>
        <v>1.4571534897384223E+24</v>
      </c>
      <c r="O406">
        <v>15.48813869</v>
      </c>
      <c r="P406" s="1">
        <f t="shared" si="92"/>
        <v>3.0251037390987454E+28</v>
      </c>
      <c r="Q406" s="1">
        <f t="shared" si="93"/>
        <v>1.9531744902645533E+27</v>
      </c>
    </row>
    <row r="407" spans="1:17" x14ac:dyDescent="0.2">
      <c r="A407">
        <f t="shared" si="94"/>
        <v>406</v>
      </c>
      <c r="B407">
        <f t="shared" si="96"/>
        <v>142.85714285714286</v>
      </c>
      <c r="C407">
        <f t="shared" si="95"/>
        <v>406000</v>
      </c>
      <c r="E407" t="s">
        <v>11</v>
      </c>
      <c r="F407">
        <v>12.40384639</v>
      </c>
      <c r="G407">
        <v>43.429000000000002</v>
      </c>
      <c r="H407">
        <f t="shared" si="87"/>
        <v>0.28561206544014367</v>
      </c>
      <c r="I407">
        <v>1008.005486</v>
      </c>
      <c r="J407">
        <f t="shared" si="88"/>
        <v>3529.281875562956</v>
      </c>
      <c r="K407" s="1">
        <v>1.4300000000000001E-6</v>
      </c>
      <c r="L407" s="1">
        <f t="shared" si="89"/>
        <v>19566.411475713165</v>
      </c>
      <c r="M407" s="1">
        <f t="shared" si="90"/>
        <v>171401764.52724731</v>
      </c>
      <c r="N407">
        <f t="shared" si="91"/>
        <v>2.2414083683218154E+58</v>
      </c>
      <c r="O407">
        <v>15.45012165</v>
      </c>
      <c r="P407" s="1">
        <f t="shared" si="92"/>
        <v>4.3856318419691491E+62</v>
      </c>
      <c r="Q407" s="1">
        <f t="shared" si="93"/>
        <v>2.8385743111408764E+61</v>
      </c>
    </row>
    <row r="408" spans="1:17" x14ac:dyDescent="0.2">
      <c r="A408">
        <f t="shared" si="94"/>
        <v>407</v>
      </c>
      <c r="B408">
        <f t="shared" si="96"/>
        <v>142.85714285714286</v>
      </c>
      <c r="C408">
        <f t="shared" si="95"/>
        <v>407000</v>
      </c>
      <c r="E408" t="s">
        <v>11</v>
      </c>
      <c r="F408">
        <v>12.399708589999999</v>
      </c>
      <c r="G408">
        <v>43.429000000000002</v>
      </c>
      <c r="H408">
        <f t="shared" si="87"/>
        <v>0.28551678809090697</v>
      </c>
      <c r="I408">
        <v>1604.3281179999999</v>
      </c>
      <c r="J408">
        <f t="shared" si="88"/>
        <v>5619.0325224910794</v>
      </c>
      <c r="K408" s="1">
        <v>1.4300000000000001E-6</v>
      </c>
      <c r="L408" s="1">
        <f t="shared" si="89"/>
        <v>19553.359331915748</v>
      </c>
      <c r="M408" s="1">
        <f t="shared" si="90"/>
        <v>171287427.74758196</v>
      </c>
      <c r="N408">
        <f t="shared" si="91"/>
        <v>7.2897951994375865E+92</v>
      </c>
      <c r="O408">
        <v>15.10416667</v>
      </c>
      <c r="P408" s="1">
        <f t="shared" si="92"/>
        <v>1.4253998499067756E+97</v>
      </c>
      <c r="Q408" s="1">
        <f t="shared" si="93"/>
        <v>9.4371300386794241E+95</v>
      </c>
    </row>
    <row r="409" spans="1:17" x14ac:dyDescent="0.2">
      <c r="A409">
        <f t="shared" si="94"/>
        <v>408</v>
      </c>
      <c r="B409">
        <f t="shared" si="96"/>
        <v>142.85714285714286</v>
      </c>
      <c r="C409">
        <f t="shared" si="95"/>
        <v>408000</v>
      </c>
      <c r="E409" t="s">
        <v>11</v>
      </c>
      <c r="F409">
        <v>12.38078672</v>
      </c>
      <c r="G409">
        <v>43.429000000000002</v>
      </c>
      <c r="H409">
        <f t="shared" si="87"/>
        <v>0.28508109143659766</v>
      </c>
      <c r="I409">
        <v>2023.9899190000001</v>
      </c>
      <c r="J409">
        <f t="shared" si="88"/>
        <v>7099.6989270687482</v>
      </c>
      <c r="K409" s="1">
        <v>1.4300000000000001E-6</v>
      </c>
      <c r="L409" s="1">
        <f t="shared" si="89"/>
        <v>19493.728281311778</v>
      </c>
      <c r="M409" s="1">
        <f t="shared" si="90"/>
        <v>170765059.74429119</v>
      </c>
      <c r="N409">
        <f t="shared" si="91"/>
        <v>2.0696378630608011E+117</v>
      </c>
      <c r="O409">
        <v>13.610097319999999</v>
      </c>
      <c r="P409" s="1">
        <f t="shared" si="92"/>
        <v>4.0344958143222013E+121</v>
      </c>
      <c r="Q409" s="1">
        <f t="shared" si="93"/>
        <v>2.9643401655868552E+120</v>
      </c>
    </row>
    <row r="410" spans="1:17" x14ac:dyDescent="0.2">
      <c r="A410">
        <f t="shared" si="94"/>
        <v>409</v>
      </c>
      <c r="B410">
        <f t="shared" ref="B410:B420" si="97">3000/20</f>
        <v>150</v>
      </c>
      <c r="C410">
        <f t="shared" si="95"/>
        <v>409000</v>
      </c>
      <c r="E410" t="s">
        <v>11</v>
      </c>
      <c r="F410">
        <v>12.774931199999999</v>
      </c>
      <c r="G410">
        <v>43.429000000000002</v>
      </c>
      <c r="H410">
        <f t="shared" si="87"/>
        <v>0.29415669713785714</v>
      </c>
      <c r="I410">
        <v>846.79158440000003</v>
      </c>
      <c r="J410">
        <f t="shared" si="88"/>
        <v>2878.7091799686254</v>
      </c>
      <c r="K410" s="1">
        <v>1.31E-6</v>
      </c>
      <c r="L410" s="1">
        <f t="shared" si="89"/>
        <v>22655.847120283346</v>
      </c>
      <c r="M410" s="1">
        <f t="shared" si="90"/>
        <v>198465220.77368212</v>
      </c>
      <c r="N410">
        <f t="shared" si="91"/>
        <v>4.0394722169321989E+47</v>
      </c>
      <c r="O410">
        <v>4.4137773720000002</v>
      </c>
      <c r="P410" s="1">
        <f t="shared" si="92"/>
        <v>9.1517664993447939E+51</v>
      </c>
      <c r="Q410" s="1">
        <f t="shared" si="93"/>
        <v>2.0734544876235758E+51</v>
      </c>
    </row>
    <row r="411" spans="1:17" x14ac:dyDescent="0.2">
      <c r="A411">
        <f t="shared" si="94"/>
        <v>410</v>
      </c>
      <c r="B411">
        <f t="shared" si="97"/>
        <v>150</v>
      </c>
      <c r="C411">
        <f t="shared" si="95"/>
        <v>410000</v>
      </c>
      <c r="E411" t="s">
        <v>11</v>
      </c>
      <c r="F411">
        <v>12.23534725</v>
      </c>
      <c r="G411">
        <v>43.429000000000002</v>
      </c>
      <c r="H411">
        <f t="shared" si="87"/>
        <v>0.28173218932050009</v>
      </c>
      <c r="I411">
        <v>563.86484810000002</v>
      </c>
      <c r="J411">
        <f t="shared" si="88"/>
        <v>2001.421454395984</v>
      </c>
      <c r="K411" s="1">
        <v>1.48E-6</v>
      </c>
      <c r="L411" s="1">
        <f t="shared" si="89"/>
        <v>18395.235195451001</v>
      </c>
      <c r="M411" s="1">
        <f t="shared" si="90"/>
        <v>161142260.31215078</v>
      </c>
      <c r="N411">
        <f t="shared" si="91"/>
        <v>1.3119993518083896E+33</v>
      </c>
      <c r="O411">
        <v>5.0334549879999999</v>
      </c>
      <c r="P411" s="1">
        <f t="shared" si="92"/>
        <v>2.4134536652794587E+37</v>
      </c>
      <c r="Q411" s="1">
        <f t="shared" si="93"/>
        <v>4.7948251668749378E+36</v>
      </c>
    </row>
    <row r="412" spans="1:17" x14ac:dyDescent="0.2">
      <c r="A412">
        <f t="shared" si="94"/>
        <v>411</v>
      </c>
      <c r="B412">
        <f t="shared" si="97"/>
        <v>150</v>
      </c>
      <c r="C412">
        <f t="shared" si="95"/>
        <v>411000</v>
      </c>
      <c r="E412" t="s">
        <v>11</v>
      </c>
      <c r="F412">
        <v>12.131499249999999</v>
      </c>
      <c r="G412">
        <v>43.429000000000002</v>
      </c>
      <c r="H412">
        <f t="shared" si="87"/>
        <v>0.27934097607589398</v>
      </c>
      <c r="I412">
        <v>502.01586959999997</v>
      </c>
      <c r="J412">
        <f t="shared" si="88"/>
        <v>1797.1436795710472</v>
      </c>
      <c r="K412" s="1">
        <v>1.5200000000000001E-6</v>
      </c>
      <c r="L412" s="1">
        <f t="shared" si="89"/>
        <v>17608.397140694986</v>
      </c>
      <c r="M412" s="1">
        <f t="shared" si="90"/>
        <v>154249558.95248806</v>
      </c>
      <c r="N412">
        <f t="shared" si="91"/>
        <v>5.5499598881288709E+29</v>
      </c>
      <c r="O412">
        <v>4.8281630169999996</v>
      </c>
      <c r="P412" s="1">
        <f t="shared" si="92"/>
        <v>9.7725897825100274E+33</v>
      </c>
      <c r="Q412" s="1">
        <f t="shared" si="93"/>
        <v>2.0240803278805341E+33</v>
      </c>
    </row>
    <row r="413" spans="1:17" x14ac:dyDescent="0.2">
      <c r="A413">
        <f t="shared" si="94"/>
        <v>412</v>
      </c>
      <c r="B413">
        <f t="shared" si="97"/>
        <v>150</v>
      </c>
      <c r="C413">
        <f t="shared" si="95"/>
        <v>412000</v>
      </c>
      <c r="E413" t="s">
        <v>11</v>
      </c>
      <c r="F413">
        <v>12.183584639999999</v>
      </c>
      <c r="G413">
        <v>43.429000000000002</v>
      </c>
      <c r="H413">
        <f t="shared" si="87"/>
        <v>0.28054029887862947</v>
      </c>
      <c r="I413">
        <v>671.21458289999998</v>
      </c>
      <c r="J413">
        <f t="shared" si="88"/>
        <v>2392.578127217254</v>
      </c>
      <c r="K413" s="1">
        <v>1.5E-6</v>
      </c>
      <c r="L413" s="1">
        <f t="shared" si="89"/>
        <v>17996.720492102926</v>
      </c>
      <c r="M413" s="1">
        <f t="shared" si="90"/>
        <v>157651271.51082164</v>
      </c>
      <c r="N413">
        <f t="shared" si="91"/>
        <v>3.7833719095441705E+39</v>
      </c>
      <c r="O413">
        <v>4.786344282</v>
      </c>
      <c r="P413" s="1">
        <f t="shared" si="92"/>
        <v>6.808828677374015E+43</v>
      </c>
      <c r="Q413" s="1">
        <f t="shared" si="93"/>
        <v>1.422553054317461E+43</v>
      </c>
    </row>
    <row r="414" spans="1:17" x14ac:dyDescent="0.2">
      <c r="A414">
        <f t="shared" si="94"/>
        <v>413</v>
      </c>
      <c r="B414">
        <f t="shared" si="97"/>
        <v>150</v>
      </c>
      <c r="C414">
        <f t="shared" si="95"/>
        <v>413000</v>
      </c>
      <c r="E414" t="s">
        <v>11</v>
      </c>
      <c r="F414">
        <v>12.579451799999999</v>
      </c>
      <c r="G414">
        <v>43.429000000000002</v>
      </c>
      <c r="H414">
        <f t="shared" si="87"/>
        <v>0.28965557116212665</v>
      </c>
      <c r="I414">
        <v>671.21458289999998</v>
      </c>
      <c r="J414">
        <f t="shared" si="88"/>
        <v>2317.2852509172221</v>
      </c>
      <c r="K414" s="1">
        <v>1.37E-6</v>
      </c>
      <c r="L414" s="1">
        <f t="shared" si="89"/>
        <v>21005.708041973307</v>
      </c>
      <c r="M414" s="1">
        <f t="shared" si="90"/>
        <v>184010002.44768617</v>
      </c>
      <c r="N414">
        <f t="shared" si="91"/>
        <v>2.1598248689112245E+38</v>
      </c>
      <c r="O414">
        <v>5.2387469590000002</v>
      </c>
      <c r="P414" s="1">
        <f t="shared" si="92"/>
        <v>4.5368650618142452E+42</v>
      </c>
      <c r="Q414" s="1">
        <f t="shared" si="93"/>
        <v>8.660210346712883E+41</v>
      </c>
    </row>
    <row r="415" spans="1:17" x14ac:dyDescent="0.2">
      <c r="A415">
        <f t="shared" si="94"/>
        <v>414</v>
      </c>
      <c r="B415">
        <f t="shared" si="97"/>
        <v>150</v>
      </c>
      <c r="C415">
        <f t="shared" si="95"/>
        <v>414000</v>
      </c>
      <c r="E415" t="s">
        <v>11</v>
      </c>
      <c r="F415">
        <v>12.80782945</v>
      </c>
      <c r="G415">
        <v>43.429000000000002</v>
      </c>
      <c r="H415">
        <f t="shared" si="87"/>
        <v>0.29491421515577149</v>
      </c>
      <c r="I415">
        <v>532.04238750000002</v>
      </c>
      <c r="J415">
        <f t="shared" si="88"/>
        <v>1804.0581299852881</v>
      </c>
      <c r="K415" s="1">
        <v>1.3E-6</v>
      </c>
      <c r="L415" s="1">
        <f t="shared" si="89"/>
        <v>22947.859419403099</v>
      </c>
      <c r="M415" s="1">
        <f t="shared" si="90"/>
        <v>201023248.51397115</v>
      </c>
      <c r="N415">
        <f t="shared" si="91"/>
        <v>7.2190802314371672E+29</v>
      </c>
      <c r="O415">
        <v>5.4174270069999997</v>
      </c>
      <c r="P415" s="1">
        <f t="shared" si="92"/>
        <v>1.6566243828841211E+34</v>
      </c>
      <c r="Q415" s="1">
        <f t="shared" si="93"/>
        <v>3.0579542294590281E+33</v>
      </c>
    </row>
    <row r="416" spans="1:17" x14ac:dyDescent="0.2">
      <c r="A416">
        <f t="shared" si="94"/>
        <v>415</v>
      </c>
      <c r="B416">
        <f t="shared" si="97"/>
        <v>150</v>
      </c>
      <c r="C416">
        <f t="shared" si="95"/>
        <v>415000</v>
      </c>
      <c r="E416" t="s">
        <v>11</v>
      </c>
      <c r="F416">
        <v>12.94891312</v>
      </c>
      <c r="G416">
        <v>43.429000000000002</v>
      </c>
      <c r="H416">
        <f t="shared" si="87"/>
        <v>0.29816282023532664</v>
      </c>
      <c r="I416">
        <v>2273.3479900000002</v>
      </c>
      <c r="J416">
        <f t="shared" si="88"/>
        <v>7624.5186713948706</v>
      </c>
      <c r="K416" s="1">
        <v>1.2699999999999999E-6</v>
      </c>
      <c r="L416" s="1">
        <f t="shared" si="89"/>
        <v>24010.28827412954</v>
      </c>
      <c r="M416" s="1">
        <f t="shared" si="90"/>
        <v>210330125.28137478</v>
      </c>
      <c r="N416">
        <f t="shared" si="91"/>
        <v>9.6223909234368586E+125</v>
      </c>
      <c r="O416">
        <v>5.7025547449999996</v>
      </c>
      <c r="P416" s="1">
        <f t="shared" si="92"/>
        <v>2.310363799580865E+130</v>
      </c>
      <c r="Q416" s="1">
        <f t="shared" si="93"/>
        <v>4.0514539586079245E+129</v>
      </c>
    </row>
    <row r="417" spans="1:17" x14ac:dyDescent="0.2">
      <c r="A417">
        <f t="shared" si="94"/>
        <v>416</v>
      </c>
      <c r="B417">
        <f t="shared" si="97"/>
        <v>150</v>
      </c>
      <c r="C417">
        <f t="shared" si="95"/>
        <v>416000</v>
      </c>
      <c r="E417" t="s">
        <v>11</v>
      </c>
      <c r="F417">
        <v>13.332888970000001</v>
      </c>
      <c r="G417">
        <v>43.429000000000002</v>
      </c>
      <c r="H417">
        <f t="shared" si="87"/>
        <v>0.30700428216168918</v>
      </c>
      <c r="I417">
        <v>532.04238750000002</v>
      </c>
      <c r="J417">
        <f t="shared" si="88"/>
        <v>1733.0129200601527</v>
      </c>
      <c r="K417" s="1">
        <v>1.17E-6</v>
      </c>
      <c r="L417" s="1">
        <f t="shared" si="89"/>
        <v>27631.033194962074</v>
      </c>
      <c r="M417" s="1">
        <f t="shared" si="90"/>
        <v>242047850.78786775</v>
      </c>
      <c r="N417">
        <f t="shared" si="91"/>
        <v>4.8436360706091882E+28</v>
      </c>
      <c r="O417">
        <v>7.4399330900000002</v>
      </c>
      <c r="P417" s="1">
        <f t="shared" si="92"/>
        <v>1.3383466905131813E+33</v>
      </c>
      <c r="Q417" s="1">
        <f t="shared" si="93"/>
        <v>1.7988692563808815E+32</v>
      </c>
    </row>
    <row r="418" spans="1:17" x14ac:dyDescent="0.2">
      <c r="A418">
        <f t="shared" si="94"/>
        <v>417</v>
      </c>
      <c r="B418">
        <f t="shared" si="97"/>
        <v>150</v>
      </c>
      <c r="C418">
        <f t="shared" si="95"/>
        <v>417000</v>
      </c>
      <c r="E418" t="s">
        <v>11</v>
      </c>
      <c r="F418">
        <v>13.228303459999999</v>
      </c>
      <c r="G418">
        <v>43.429000000000002</v>
      </c>
      <c r="H418">
        <f t="shared" si="87"/>
        <v>0.30459608694651036</v>
      </c>
      <c r="I418">
        <v>633.33369760000005</v>
      </c>
      <c r="J418">
        <f t="shared" si="88"/>
        <v>2079.2574978522912</v>
      </c>
      <c r="K418" s="1">
        <v>1.19E-6</v>
      </c>
      <c r="L418" s="1">
        <f t="shared" si="89"/>
        <v>26742.117841018702</v>
      </c>
      <c r="M418" s="1">
        <f t="shared" si="90"/>
        <v>234260952.28732383</v>
      </c>
      <c r="N418">
        <f t="shared" si="91"/>
        <v>2.5315964490980084E+34</v>
      </c>
      <c r="O418">
        <v>8.0025851580000005</v>
      </c>
      <c r="P418" s="1">
        <f t="shared" si="92"/>
        <v>6.7700250567683443E+38</v>
      </c>
      <c r="Q418" s="1">
        <f t="shared" si="93"/>
        <v>8.4597975817858129E+37</v>
      </c>
    </row>
    <row r="419" spans="1:17" x14ac:dyDescent="0.2">
      <c r="A419">
        <f t="shared" si="94"/>
        <v>418</v>
      </c>
      <c r="B419">
        <f t="shared" si="97"/>
        <v>150</v>
      </c>
      <c r="C419">
        <f t="shared" si="95"/>
        <v>418000</v>
      </c>
      <c r="E419" t="s">
        <v>11</v>
      </c>
      <c r="F419">
        <v>13.1602804</v>
      </c>
      <c r="G419">
        <v>43.429000000000002</v>
      </c>
      <c r="H419">
        <f t="shared" si="87"/>
        <v>0.30302978194294133</v>
      </c>
      <c r="I419">
        <v>421.72668670000002</v>
      </c>
      <c r="J419">
        <f t="shared" si="88"/>
        <v>1391.700459261818</v>
      </c>
      <c r="K419" s="1">
        <v>1.2100000000000001E-6</v>
      </c>
      <c r="L419" s="1">
        <f t="shared" si="89"/>
        <v>26030.312164731073</v>
      </c>
      <c r="M419" s="1">
        <f t="shared" si="90"/>
        <v>228025534.56304419</v>
      </c>
      <c r="N419">
        <f t="shared" si="91"/>
        <v>1.1178984526882085E+23</v>
      </c>
      <c r="O419">
        <v>9.0518552309999993</v>
      </c>
      <c r="P419" s="1">
        <f t="shared" si="92"/>
        <v>2.9099245691943917E+27</v>
      </c>
      <c r="Q419" s="1">
        <f t="shared" si="93"/>
        <v>3.2147272519656937E+26</v>
      </c>
    </row>
    <row r="420" spans="1:17" x14ac:dyDescent="0.2">
      <c r="A420">
        <f t="shared" si="94"/>
        <v>419</v>
      </c>
      <c r="B420">
        <f t="shared" si="97"/>
        <v>150</v>
      </c>
      <c r="C420">
        <f t="shared" si="95"/>
        <v>419000</v>
      </c>
      <c r="E420" t="s">
        <v>11</v>
      </c>
      <c r="F420">
        <v>12.85460336</v>
      </c>
      <c r="G420">
        <v>43.429000000000002</v>
      </c>
      <c r="H420">
        <f t="shared" si="87"/>
        <v>0.29599123534965116</v>
      </c>
      <c r="I420">
        <v>563.86484810000002</v>
      </c>
      <c r="J420">
        <f t="shared" si="88"/>
        <v>1905.0052189346509</v>
      </c>
      <c r="K420" s="1">
        <v>1.2899999999999999E-6</v>
      </c>
      <c r="L420" s="1">
        <f t="shared" si="89"/>
        <v>23294.967683339317</v>
      </c>
      <c r="M420" s="1">
        <f t="shared" si="90"/>
        <v>204063916.90605241</v>
      </c>
      <c r="N420">
        <f t="shared" si="91"/>
        <v>3.354449255103213E+31</v>
      </c>
      <c r="O420">
        <v>11.19981752</v>
      </c>
      <c r="P420" s="1">
        <f t="shared" si="92"/>
        <v>7.8141786993030986E+35</v>
      </c>
      <c r="Q420" s="1">
        <f t="shared" si="93"/>
        <v>6.9770589434595524E+34</v>
      </c>
    </row>
    <row r="421" spans="1:17" x14ac:dyDescent="0.2">
      <c r="A421">
        <f t="shared" si="94"/>
        <v>420</v>
      </c>
      <c r="B421">
        <f>3000/20</f>
        <v>150</v>
      </c>
      <c r="C421">
        <f t="shared" si="95"/>
        <v>420000</v>
      </c>
      <c r="E421" t="s">
        <v>11</v>
      </c>
      <c r="F421">
        <v>12.90992621</v>
      </c>
      <c r="G421">
        <v>43.429000000000002</v>
      </c>
      <c r="H421">
        <f t="shared" si="87"/>
        <v>0.29726510419305069</v>
      </c>
      <c r="I421">
        <v>421.72668670000002</v>
      </c>
      <c r="J421">
        <f t="shared" si="88"/>
        <v>1418.6888428926429</v>
      </c>
      <c r="K421" s="1">
        <v>1.28E-6</v>
      </c>
      <c r="L421" s="1">
        <f t="shared" si="89"/>
        <v>23679.471847359779</v>
      </c>
      <c r="M421" s="1">
        <f t="shared" si="90"/>
        <v>207432173.38287166</v>
      </c>
      <c r="N421">
        <f t="shared" si="91"/>
        <v>3.1197157477008881E+23</v>
      </c>
      <c r="O421">
        <v>11.86511557</v>
      </c>
      <c r="P421" s="1">
        <f t="shared" si="92"/>
        <v>7.387322121944814E+27</v>
      </c>
      <c r="Q421" s="1">
        <f t="shared" si="93"/>
        <v>6.2260852651305556E+26</v>
      </c>
    </row>
    <row r="422" spans="1:17" x14ac:dyDescent="0.2">
      <c r="A422">
        <f t="shared" si="94"/>
        <v>421</v>
      </c>
      <c r="B422">
        <f t="shared" ref="B422:B423" si="98">3000/20</f>
        <v>150</v>
      </c>
      <c r="C422">
        <f t="shared" si="95"/>
        <v>421000</v>
      </c>
      <c r="E422" t="s">
        <v>11</v>
      </c>
      <c r="F422">
        <v>12.867321820000001</v>
      </c>
      <c r="G422">
        <v>43.429000000000002</v>
      </c>
      <c r="H422">
        <f t="shared" si="87"/>
        <v>0.29628409173593684</v>
      </c>
      <c r="I422">
        <v>711.36119550000001</v>
      </c>
      <c r="J422">
        <f t="shared" si="88"/>
        <v>2400.9429305910917</v>
      </c>
      <c r="K422" s="1">
        <v>1.2899999999999999E-6</v>
      </c>
      <c r="L422" s="1">
        <f t="shared" si="89"/>
        <v>23341.086987919105</v>
      </c>
      <c r="M422" s="1">
        <f t="shared" si="90"/>
        <v>204467922.01417136</v>
      </c>
      <c r="N422">
        <f t="shared" si="91"/>
        <v>5.2002426906356727E+39</v>
      </c>
      <c r="O422">
        <v>11.86131387</v>
      </c>
      <c r="P422" s="1">
        <f t="shared" si="92"/>
        <v>1.2137931700041774E+44</v>
      </c>
      <c r="Q422" s="1">
        <f t="shared" si="93"/>
        <v>1.0233210108992566E+43</v>
      </c>
    </row>
    <row r="423" spans="1:17" x14ac:dyDescent="0.2">
      <c r="A423">
        <f t="shared" si="94"/>
        <v>422</v>
      </c>
      <c r="B423">
        <f t="shared" si="98"/>
        <v>150</v>
      </c>
      <c r="C423">
        <f t="shared" si="95"/>
        <v>422000</v>
      </c>
      <c r="E423" t="s">
        <v>11</v>
      </c>
      <c r="F423">
        <v>12.80459832</v>
      </c>
      <c r="G423">
        <v>43.429000000000002</v>
      </c>
      <c r="H423">
        <f t="shared" si="87"/>
        <v>0.29483981487024796</v>
      </c>
      <c r="I423">
        <v>563.86484810000002</v>
      </c>
      <c r="J423">
        <f t="shared" si="88"/>
        <v>1912.4447230715555</v>
      </c>
      <c r="K423" s="1">
        <v>1.31E-6</v>
      </c>
      <c r="L423" s="1">
        <f t="shared" si="89"/>
        <v>22761.19628734632</v>
      </c>
      <c r="M423" s="1">
        <f t="shared" si="90"/>
        <v>199388079.47715375</v>
      </c>
      <c r="N423">
        <f t="shared" si="91"/>
        <v>4.4512757947927882E+31</v>
      </c>
      <c r="O423">
        <v>12.5</v>
      </c>
      <c r="P423" s="1">
        <f t="shared" si="92"/>
        <v>1.0131636209439215E+36</v>
      </c>
      <c r="Q423" s="1">
        <f t="shared" si="93"/>
        <v>8.1053089675513725E+34</v>
      </c>
    </row>
    <row r="424" spans="1:17" x14ac:dyDescent="0.2">
      <c r="A424">
        <f t="shared" si="94"/>
        <v>423</v>
      </c>
      <c r="B424">
        <f t="shared" ref="B424:B430" si="99">3000/19</f>
        <v>157.89473684210526</v>
      </c>
      <c r="C424">
        <f t="shared" si="95"/>
        <v>423000</v>
      </c>
      <c r="E424" t="s">
        <v>11</v>
      </c>
      <c r="F424">
        <v>12.729952470000001</v>
      </c>
      <c r="G424">
        <v>43.429000000000002</v>
      </c>
      <c r="H424">
        <f t="shared" si="87"/>
        <v>0.2931210129176357</v>
      </c>
      <c r="I424">
        <v>502.01586959999997</v>
      </c>
      <c r="J424">
        <f t="shared" si="88"/>
        <v>1712.6573922595642</v>
      </c>
      <c r="K424" s="1">
        <v>1.33E-6</v>
      </c>
      <c r="L424" s="1">
        <f t="shared" si="89"/>
        <v>22158.297276206198</v>
      </c>
      <c r="M424" s="1">
        <f t="shared" si="90"/>
        <v>194106684.1395663</v>
      </c>
      <c r="N424">
        <f t="shared" si="91"/>
        <v>2.2335739164702547E+28</v>
      </c>
      <c r="O424">
        <v>13.42761557</v>
      </c>
      <c r="P424" s="1">
        <f t="shared" si="92"/>
        <v>4.9492194829528052E+32</v>
      </c>
      <c r="Q424" s="1">
        <f t="shared" si="93"/>
        <v>3.6858513390943056E+31</v>
      </c>
    </row>
    <row r="425" spans="1:17" x14ac:dyDescent="0.2">
      <c r="A425">
        <f t="shared" si="94"/>
        <v>424</v>
      </c>
      <c r="B425">
        <f t="shared" si="99"/>
        <v>157.89473684210526</v>
      </c>
      <c r="C425">
        <f t="shared" si="95"/>
        <v>424000</v>
      </c>
      <c r="E425" t="s">
        <v>11</v>
      </c>
      <c r="F425">
        <v>12.7218342</v>
      </c>
      <c r="G425">
        <v>43.429000000000002</v>
      </c>
      <c r="H425">
        <f t="shared" si="87"/>
        <v>0.29293408091367518</v>
      </c>
      <c r="I425">
        <v>633.33369760000005</v>
      </c>
      <c r="J425">
        <f t="shared" si="88"/>
        <v>2162.0348701817229</v>
      </c>
      <c r="K425" s="1">
        <v>1.33E-6</v>
      </c>
      <c r="L425" s="1">
        <f t="shared" si="89"/>
        <v>22130.044275138109</v>
      </c>
      <c r="M425" s="1">
        <f t="shared" si="90"/>
        <v>193859187.85020983</v>
      </c>
      <c r="N425">
        <f t="shared" si="91"/>
        <v>5.8946943711379377E+35</v>
      </c>
      <c r="O425">
        <v>13.838199510000001</v>
      </c>
      <c r="P425" s="1">
        <f t="shared" si="92"/>
        <v>1.3044984742168996E+40</v>
      </c>
      <c r="Q425" s="1">
        <f t="shared" si="93"/>
        <v>9.4267933720295053E+38</v>
      </c>
    </row>
    <row r="426" spans="1:17" x14ac:dyDescent="0.2">
      <c r="A426">
        <f t="shared" si="94"/>
        <v>425</v>
      </c>
      <c r="B426">
        <f t="shared" si="99"/>
        <v>157.89473684210526</v>
      </c>
      <c r="C426">
        <f t="shared" si="95"/>
        <v>425000</v>
      </c>
      <c r="E426" t="s">
        <v>11</v>
      </c>
      <c r="F426">
        <v>12.59850956</v>
      </c>
      <c r="G426">
        <v>43.429000000000002</v>
      </c>
      <c r="H426">
        <f t="shared" si="87"/>
        <v>0.2900943968316102</v>
      </c>
      <c r="I426">
        <v>671.21458289999998</v>
      </c>
      <c r="J426">
        <f t="shared" si="88"/>
        <v>2313.7798945134982</v>
      </c>
      <c r="K426" s="1">
        <v>1.37E-6</v>
      </c>
      <c r="L426" s="1">
        <f t="shared" si="89"/>
        <v>21069.403183994044</v>
      </c>
      <c r="M426" s="1">
        <f t="shared" si="90"/>
        <v>184567971.89178783</v>
      </c>
      <c r="N426">
        <f t="shared" si="91"/>
        <v>1.8902865296579549E+38</v>
      </c>
      <c r="O426">
        <v>14.3020073</v>
      </c>
      <c r="P426" s="1">
        <f t="shared" si="92"/>
        <v>3.9827209026636369E+42</v>
      </c>
      <c r="Q426" s="1">
        <f t="shared" si="93"/>
        <v>2.7847286182434243E+41</v>
      </c>
    </row>
    <row r="427" spans="1:17" x14ac:dyDescent="0.2">
      <c r="A427">
        <f t="shared" si="94"/>
        <v>426</v>
      </c>
      <c r="B427">
        <f t="shared" si="99"/>
        <v>157.89473684210526</v>
      </c>
      <c r="C427">
        <f t="shared" si="95"/>
        <v>426000</v>
      </c>
      <c r="E427" t="s">
        <v>11</v>
      </c>
      <c r="F427">
        <v>12.5667393</v>
      </c>
      <c r="G427">
        <v>43.429000000000002</v>
      </c>
      <c r="H427">
        <f t="shared" si="87"/>
        <v>0.28936285201132883</v>
      </c>
      <c r="I427">
        <v>711.36119550000001</v>
      </c>
      <c r="J427">
        <f t="shared" si="88"/>
        <v>2458.3708328674807</v>
      </c>
      <c r="K427" s="1">
        <v>1.3799999999999999E-6</v>
      </c>
      <c r="L427" s="1">
        <f t="shared" si="89"/>
        <v>20811.36595838888</v>
      </c>
      <c r="M427" s="1">
        <f t="shared" si="90"/>
        <v>182307565.7954866</v>
      </c>
      <c r="N427">
        <f t="shared" si="91"/>
        <v>4.6178985228640924E+40</v>
      </c>
      <c r="O427">
        <v>14.917883209999999</v>
      </c>
      <c r="P427" s="1">
        <f t="shared" si="92"/>
        <v>9.610477611802807E+44</v>
      </c>
      <c r="Q427" s="1">
        <f t="shared" si="93"/>
        <v>6.4422528830099393E+43</v>
      </c>
    </row>
    <row r="428" spans="1:17" x14ac:dyDescent="0.2">
      <c r="A428">
        <f t="shared" si="94"/>
        <v>427</v>
      </c>
      <c r="B428">
        <f t="shared" si="99"/>
        <v>157.89473684210526</v>
      </c>
      <c r="C428">
        <f t="shared" si="95"/>
        <v>427000</v>
      </c>
      <c r="E428" t="s">
        <v>11</v>
      </c>
      <c r="F428">
        <v>12.36965769</v>
      </c>
      <c r="G428">
        <v>43.429000000000002</v>
      </c>
      <c r="H428">
        <f t="shared" si="87"/>
        <v>0.28482483340624926</v>
      </c>
      <c r="I428">
        <v>502.01586959999997</v>
      </c>
      <c r="J428">
        <f t="shared" si="88"/>
        <v>1762.5424847838615</v>
      </c>
      <c r="K428" s="1">
        <v>1.44E-6</v>
      </c>
      <c r="L428" s="1">
        <f t="shared" si="89"/>
        <v>19323.568544194371</v>
      </c>
      <c r="M428" s="1">
        <f t="shared" si="90"/>
        <v>169274460.44714269</v>
      </c>
      <c r="N428">
        <f t="shared" si="91"/>
        <v>1.4888527069992092E+29</v>
      </c>
      <c r="O428">
        <v>16.04318735</v>
      </c>
      <c r="P428" s="1">
        <f t="shared" si="92"/>
        <v>2.8769947335908561E+33</v>
      </c>
      <c r="Q428" s="1">
        <f t="shared" si="93"/>
        <v>1.7932812668866926E+32</v>
      </c>
    </row>
    <row r="429" spans="1:17" x14ac:dyDescent="0.2">
      <c r="A429">
        <f t="shared" si="94"/>
        <v>428</v>
      </c>
      <c r="B429">
        <f t="shared" si="99"/>
        <v>157.89473684210526</v>
      </c>
      <c r="C429">
        <f t="shared" si="95"/>
        <v>428000</v>
      </c>
      <c r="E429" t="s">
        <v>11</v>
      </c>
      <c r="F429">
        <v>12.265149389999999</v>
      </c>
      <c r="G429">
        <v>43.429000000000002</v>
      </c>
      <c r="H429">
        <f t="shared" si="87"/>
        <v>0.28241841603536805</v>
      </c>
      <c r="I429">
        <v>633.33369760000005</v>
      </c>
      <c r="J429">
        <f t="shared" si="88"/>
        <v>2242.5368235217561</v>
      </c>
      <c r="K429" s="1">
        <v>1.4699999999999999E-6</v>
      </c>
      <c r="L429" s="1">
        <f t="shared" si="89"/>
        <v>18610.70440038279</v>
      </c>
      <c r="M429" s="1">
        <f t="shared" si="90"/>
        <v>163029770.54735324</v>
      </c>
      <c r="N429">
        <f t="shared" si="91"/>
        <v>1.2587793326218174E+37</v>
      </c>
      <c r="O429">
        <v>16.67807178</v>
      </c>
      <c r="P429" s="1">
        <f t="shared" si="92"/>
        <v>2.3426770064735769E+41</v>
      </c>
      <c r="Q429" s="1">
        <f t="shared" si="93"/>
        <v>1.4046449957619602E+40</v>
      </c>
    </row>
    <row r="430" spans="1:17" x14ac:dyDescent="0.2">
      <c r="A430">
        <f t="shared" si="94"/>
        <v>429</v>
      </c>
      <c r="B430">
        <f t="shared" si="99"/>
        <v>157.89473684210526</v>
      </c>
      <c r="C430">
        <f t="shared" si="95"/>
        <v>429000</v>
      </c>
      <c r="E430" t="s">
        <v>11</v>
      </c>
      <c r="F430">
        <v>12.24207419</v>
      </c>
      <c r="G430">
        <v>43.429000000000002</v>
      </c>
      <c r="H430">
        <f t="shared" si="87"/>
        <v>0.28188708443666671</v>
      </c>
      <c r="I430">
        <v>3618.230411</v>
      </c>
      <c r="J430">
        <f t="shared" si="88"/>
        <v>12835.743851942709</v>
      </c>
      <c r="K430" s="1">
        <v>1.48E-6</v>
      </c>
      <c r="L430" s="1">
        <f t="shared" si="89"/>
        <v>18415.46799436901</v>
      </c>
      <c r="M430" s="1">
        <f t="shared" si="90"/>
        <v>161319499.63067251</v>
      </c>
      <c r="N430">
        <f t="shared" si="91"/>
        <v>1.1131997518463168E+212</v>
      </c>
      <c r="O430">
        <v>16.852950119999999</v>
      </c>
      <c r="P430" s="1">
        <f t="shared" si="92"/>
        <v>2.050009440146537E+216</v>
      </c>
      <c r="Q430" s="1">
        <f t="shared" si="93"/>
        <v>1.2164098425199262E+215</v>
      </c>
    </row>
    <row r="431" spans="1:17" x14ac:dyDescent="0.2">
      <c r="A431">
        <f t="shared" si="94"/>
        <v>430</v>
      </c>
      <c r="B431">
        <f t="shared" ref="B431:B450" si="100">3000/19</f>
        <v>157.89473684210526</v>
      </c>
      <c r="C431">
        <f t="shared" si="95"/>
        <v>430000</v>
      </c>
      <c r="E431" t="s">
        <v>11</v>
      </c>
      <c r="F431">
        <v>12.132732900000001</v>
      </c>
      <c r="G431">
        <v>43.429000000000002</v>
      </c>
      <c r="H431">
        <f t="shared" si="87"/>
        <v>0.27936938221004398</v>
      </c>
      <c r="I431">
        <v>633.33369760000005</v>
      </c>
      <c r="J431">
        <f t="shared" si="88"/>
        <v>2267.0118414187132</v>
      </c>
      <c r="K431" s="1">
        <v>1.5200000000000001E-6</v>
      </c>
      <c r="L431" s="1">
        <f t="shared" si="89"/>
        <v>17611.978512324094</v>
      </c>
      <c r="M431" s="1">
        <f t="shared" si="90"/>
        <v>154280931.76795906</v>
      </c>
      <c r="N431">
        <f t="shared" si="91"/>
        <v>3.1926703869181457E+37</v>
      </c>
      <c r="O431">
        <v>16.875760339999999</v>
      </c>
      <c r="P431" s="1">
        <f t="shared" si="92"/>
        <v>5.6229242251335838E+41</v>
      </c>
      <c r="Q431" s="1">
        <f t="shared" si="93"/>
        <v>3.3319531160950249E+40</v>
      </c>
    </row>
    <row r="432" spans="1:17" x14ac:dyDescent="0.2">
      <c r="A432">
        <f t="shared" si="94"/>
        <v>431</v>
      </c>
      <c r="B432">
        <f t="shared" si="100"/>
        <v>157.89473684210526</v>
      </c>
      <c r="C432">
        <f t="shared" si="95"/>
        <v>431000</v>
      </c>
      <c r="E432" t="s">
        <v>11</v>
      </c>
      <c r="F432">
        <v>11.95903992</v>
      </c>
      <c r="G432">
        <v>43.429000000000002</v>
      </c>
      <c r="H432">
        <f t="shared" si="87"/>
        <v>0.27536991227060259</v>
      </c>
      <c r="I432">
        <v>563.86484810000002</v>
      </c>
      <c r="J432">
        <f t="shared" si="88"/>
        <v>2047.6632448714913</v>
      </c>
      <c r="K432" s="1">
        <v>1.5799999999999999E-6</v>
      </c>
      <c r="L432" s="1">
        <f t="shared" si="89"/>
        <v>16461.522711572372</v>
      </c>
      <c r="M432" s="1">
        <f t="shared" si="90"/>
        <v>144202938.95337397</v>
      </c>
      <c r="N432">
        <f t="shared" si="91"/>
        <v>7.6140540998622815E+33</v>
      </c>
      <c r="O432">
        <v>16.64005474</v>
      </c>
      <c r="P432" s="1">
        <f t="shared" si="92"/>
        <v>1.2533892449202368E+38</v>
      </c>
      <c r="Q432" s="1">
        <f t="shared" si="93"/>
        <v>7.5323625102463856E+36</v>
      </c>
    </row>
    <row r="433" spans="1:17" x14ac:dyDescent="0.2">
      <c r="A433">
        <f t="shared" si="94"/>
        <v>432</v>
      </c>
      <c r="B433">
        <f t="shared" si="100"/>
        <v>157.89473684210526</v>
      </c>
      <c r="C433">
        <f t="shared" si="95"/>
        <v>432000</v>
      </c>
      <c r="E433" t="s">
        <v>11</v>
      </c>
      <c r="F433">
        <v>11.817748699999999</v>
      </c>
      <c r="G433">
        <v>43.429000000000002</v>
      </c>
      <c r="H433">
        <f t="shared" si="87"/>
        <v>0.27211652812636716</v>
      </c>
      <c r="I433">
        <v>563.86484810000002</v>
      </c>
      <c r="J433">
        <f t="shared" si="88"/>
        <v>2072.144797607255</v>
      </c>
      <c r="K433" s="1">
        <v>1.64E-6</v>
      </c>
      <c r="L433" s="1">
        <f t="shared" si="89"/>
        <v>15486.743825417658</v>
      </c>
      <c r="M433" s="1">
        <f t="shared" si="90"/>
        <v>135663875.91065869</v>
      </c>
      <c r="N433">
        <f t="shared" si="91"/>
        <v>1.9316496568345745E+34</v>
      </c>
      <c r="O433">
        <v>15.925334550000001</v>
      </c>
      <c r="P433" s="1">
        <f t="shared" si="92"/>
        <v>2.9914963395852984E+38</v>
      </c>
      <c r="Q433" s="1">
        <f t="shared" si="93"/>
        <v>1.8784511748830408E+37</v>
      </c>
    </row>
    <row r="434" spans="1:17" x14ac:dyDescent="0.2">
      <c r="A434">
        <f t="shared" si="94"/>
        <v>433</v>
      </c>
      <c r="B434">
        <f t="shared" si="100"/>
        <v>157.89473684210526</v>
      </c>
      <c r="C434">
        <f t="shared" si="95"/>
        <v>433000</v>
      </c>
      <c r="E434" t="s">
        <v>11</v>
      </c>
      <c r="F434">
        <v>12.58205145</v>
      </c>
      <c r="G434">
        <v>43.429000000000002</v>
      </c>
      <c r="H434">
        <f t="shared" si="87"/>
        <v>0.28971543093324736</v>
      </c>
      <c r="I434">
        <v>375.46850110000003</v>
      </c>
      <c r="J434">
        <f t="shared" si="88"/>
        <v>1295.9906895208176</v>
      </c>
      <c r="K434" s="1">
        <v>1.37E-6</v>
      </c>
      <c r="L434" s="1">
        <f t="shared" si="89"/>
        <v>21014.390953173115</v>
      </c>
      <c r="M434" s="1">
        <f t="shared" si="90"/>
        <v>184086064.74979648</v>
      </c>
      <c r="N434">
        <f t="shared" si="91"/>
        <v>2.9360079663670262E+21</v>
      </c>
      <c r="O434">
        <v>4.6836982970000003</v>
      </c>
      <c r="P434" s="1">
        <f t="shared" si="92"/>
        <v>6.169841924686743E+25</v>
      </c>
      <c r="Q434" s="1">
        <f t="shared" si="93"/>
        <v>1.3173013147833725E+25</v>
      </c>
    </row>
    <row r="435" spans="1:17" x14ac:dyDescent="0.2">
      <c r="A435">
        <f t="shared" si="94"/>
        <v>434</v>
      </c>
      <c r="B435">
        <f t="shared" si="100"/>
        <v>157.89473684210526</v>
      </c>
      <c r="C435">
        <f t="shared" si="95"/>
        <v>434000</v>
      </c>
      <c r="E435" t="s">
        <v>11</v>
      </c>
      <c r="F435">
        <v>12.24382937</v>
      </c>
      <c r="G435">
        <v>43.429000000000002</v>
      </c>
      <c r="H435">
        <f t="shared" si="87"/>
        <v>0.28192749936678257</v>
      </c>
      <c r="I435">
        <v>671.21458289999998</v>
      </c>
      <c r="J435">
        <f t="shared" si="88"/>
        <v>2380.8056482874767</v>
      </c>
      <c r="K435" s="1">
        <v>1.48E-6</v>
      </c>
      <c r="L435" s="1">
        <f t="shared" si="89"/>
        <v>18420.748925964908</v>
      </c>
      <c r="M435" s="1">
        <f t="shared" si="90"/>
        <v>161365760.5914526</v>
      </c>
      <c r="N435">
        <f t="shared" si="91"/>
        <v>2.418002565300641E+39</v>
      </c>
      <c r="O435">
        <v>5.2273418490000001</v>
      </c>
      <c r="P435" s="1">
        <f t="shared" si="92"/>
        <v>4.4541418157742177E+43</v>
      </c>
      <c r="Q435" s="1">
        <f t="shared" si="93"/>
        <v>8.520854278214659E+42</v>
      </c>
    </row>
    <row r="436" spans="1:17" x14ac:dyDescent="0.2">
      <c r="A436">
        <f t="shared" si="94"/>
        <v>435</v>
      </c>
      <c r="B436">
        <f t="shared" si="100"/>
        <v>157.89473684210526</v>
      </c>
      <c r="C436">
        <f t="shared" si="95"/>
        <v>435000</v>
      </c>
      <c r="E436" t="s">
        <v>11</v>
      </c>
      <c r="F436">
        <v>12.267445410000001</v>
      </c>
      <c r="G436">
        <v>43.429000000000002</v>
      </c>
      <c r="H436">
        <f t="shared" si="87"/>
        <v>0.28247128439521979</v>
      </c>
      <c r="I436">
        <v>711.36119550000001</v>
      </c>
      <c r="J436">
        <f t="shared" si="88"/>
        <v>2518.3487129427949</v>
      </c>
      <c r="K436" s="1">
        <v>1.4699999999999999E-6</v>
      </c>
      <c r="L436" s="1">
        <f t="shared" si="89"/>
        <v>18617.67285183987</v>
      </c>
      <c r="M436" s="1">
        <f t="shared" si="90"/>
        <v>163090814.18211725</v>
      </c>
      <c r="N436">
        <f t="shared" si="91"/>
        <v>4.5183305075428306E+41</v>
      </c>
      <c r="O436">
        <v>5.0486617999999996</v>
      </c>
      <c r="P436" s="1">
        <f t="shared" si="92"/>
        <v>8.4120799225920025E+45</v>
      </c>
      <c r="Q436" s="1">
        <f t="shared" si="93"/>
        <v>1.6661999269968933E+45</v>
      </c>
    </row>
    <row r="437" spans="1:17" x14ac:dyDescent="0.2">
      <c r="A437">
        <f t="shared" si="94"/>
        <v>436</v>
      </c>
      <c r="B437">
        <f t="shared" si="100"/>
        <v>157.89473684210526</v>
      </c>
      <c r="C437">
        <f t="shared" si="95"/>
        <v>436000</v>
      </c>
      <c r="E437" t="s">
        <v>11</v>
      </c>
      <c r="F437">
        <v>12.22426387</v>
      </c>
      <c r="G437">
        <v>43.429000000000002</v>
      </c>
      <c r="H437">
        <f t="shared" si="87"/>
        <v>0.28147698243109442</v>
      </c>
      <c r="I437">
        <v>671.21458289999998</v>
      </c>
      <c r="J437">
        <f t="shared" si="88"/>
        <v>2384.6162378990025</v>
      </c>
      <c r="K437" s="1">
        <v>1.4899999999999999E-6</v>
      </c>
      <c r="L437" s="1">
        <f t="shared" si="89"/>
        <v>18238.689283228541</v>
      </c>
      <c r="M437" s="1">
        <f t="shared" si="90"/>
        <v>159770918.12108201</v>
      </c>
      <c r="N437">
        <f t="shared" si="91"/>
        <v>2.7950435311534231E+39</v>
      </c>
      <c r="O437">
        <v>5.1132907540000003</v>
      </c>
      <c r="P437" s="1">
        <f t="shared" si="92"/>
        <v>5.0977930497805193E+43</v>
      </c>
      <c r="Q437" s="1">
        <f t="shared" si="93"/>
        <v>9.9696913299769668E+42</v>
      </c>
    </row>
    <row r="438" spans="1:17" x14ac:dyDescent="0.2">
      <c r="A438">
        <f t="shared" si="94"/>
        <v>437</v>
      </c>
      <c r="B438">
        <f t="shared" si="100"/>
        <v>157.89473684210526</v>
      </c>
      <c r="C438">
        <f t="shared" si="95"/>
        <v>437000</v>
      </c>
      <c r="E438" t="s">
        <v>11</v>
      </c>
      <c r="F438">
        <v>12.60203155</v>
      </c>
      <c r="G438">
        <v>43.429000000000002</v>
      </c>
      <c r="H438">
        <f t="shared" si="87"/>
        <v>0.29017549448525176</v>
      </c>
      <c r="I438">
        <v>563.86484810000002</v>
      </c>
      <c r="J438">
        <f t="shared" si="88"/>
        <v>1943.1856197927789</v>
      </c>
      <c r="K438" s="1">
        <v>1.37E-6</v>
      </c>
      <c r="L438" s="1">
        <f t="shared" si="89"/>
        <v>21081.184990304973</v>
      </c>
      <c r="M438" s="1">
        <f t="shared" si="90"/>
        <v>184671180.51507157</v>
      </c>
      <c r="N438">
        <f t="shared" si="91"/>
        <v>1.4327481610182286E+32</v>
      </c>
      <c r="O438">
        <v>5.2691605839999998</v>
      </c>
      <c r="P438" s="1">
        <f t="shared" si="92"/>
        <v>3.0204029026944533E+36</v>
      </c>
      <c r="Q438" s="1">
        <f t="shared" si="93"/>
        <v>5.7322278464353849E+35</v>
      </c>
    </row>
    <row r="439" spans="1:17" x14ac:dyDescent="0.2">
      <c r="A439">
        <f t="shared" si="94"/>
        <v>438</v>
      </c>
      <c r="B439">
        <f t="shared" si="100"/>
        <v>157.89473684210526</v>
      </c>
      <c r="C439">
        <f t="shared" si="95"/>
        <v>438000</v>
      </c>
      <c r="E439" t="s">
        <v>11</v>
      </c>
      <c r="F439">
        <v>12.909568050000001</v>
      </c>
      <c r="G439">
        <v>43.429000000000002</v>
      </c>
      <c r="H439">
        <f t="shared" si="87"/>
        <v>0.29725685716917266</v>
      </c>
      <c r="I439">
        <v>1801.9833349999999</v>
      </c>
      <c r="J439">
        <f t="shared" si="88"/>
        <v>6062.0412668040426</v>
      </c>
      <c r="K439" s="1">
        <v>1.28E-6</v>
      </c>
      <c r="L439" s="1">
        <f t="shared" si="89"/>
        <v>23678.157986714232</v>
      </c>
      <c r="M439" s="1">
        <f t="shared" si="90"/>
        <v>207420663.96361667</v>
      </c>
      <c r="N439">
        <f t="shared" si="91"/>
        <v>1.5100689222638119E+100</v>
      </c>
      <c r="O439">
        <v>5.4364355230000001</v>
      </c>
      <c r="P439" s="1">
        <f t="shared" si="92"/>
        <v>3.575565051218983E+104</v>
      </c>
      <c r="Q439" s="1">
        <f t="shared" si="93"/>
        <v>6.5770393782687067E+103</v>
      </c>
    </row>
    <row r="440" spans="1:17" x14ac:dyDescent="0.2">
      <c r="A440">
        <f t="shared" si="94"/>
        <v>439</v>
      </c>
      <c r="B440">
        <f t="shared" si="100"/>
        <v>157.89473684210526</v>
      </c>
      <c r="C440">
        <f t="shared" si="95"/>
        <v>439000</v>
      </c>
      <c r="E440" t="s">
        <v>11</v>
      </c>
      <c r="F440">
        <v>13.054068839999999</v>
      </c>
      <c r="G440">
        <v>43.429000000000002</v>
      </c>
      <c r="H440">
        <f t="shared" si="87"/>
        <v>0.30058414515646226</v>
      </c>
      <c r="I440">
        <v>502.01586959999997</v>
      </c>
      <c r="J440">
        <f t="shared" si="88"/>
        <v>1670.1342292644445</v>
      </c>
      <c r="K440" s="1">
        <v>1.24E-6</v>
      </c>
      <c r="L440" s="1">
        <f t="shared" si="89"/>
        <v>24992.204930297037</v>
      </c>
      <c r="M440" s="1">
        <f t="shared" si="90"/>
        <v>218931715.18940204</v>
      </c>
      <c r="N440">
        <f t="shared" si="91"/>
        <v>4.4333401851587623E+27</v>
      </c>
      <c r="O440">
        <v>5.9192518249999999</v>
      </c>
      <c r="P440" s="1">
        <f t="shared" si="92"/>
        <v>1.1079894643320881E+32</v>
      </c>
      <c r="Q440" s="1">
        <f t="shared" si="93"/>
        <v>1.8718403897811664E+31</v>
      </c>
    </row>
    <row r="441" spans="1:17" x14ac:dyDescent="0.2">
      <c r="A441">
        <f t="shared" si="94"/>
        <v>440</v>
      </c>
      <c r="B441">
        <f t="shared" si="100"/>
        <v>157.89473684210526</v>
      </c>
      <c r="C441">
        <f t="shared" si="95"/>
        <v>440000</v>
      </c>
      <c r="E441" t="s">
        <v>11</v>
      </c>
      <c r="F441">
        <v>13.22985476</v>
      </c>
      <c r="G441">
        <v>43.429000000000002</v>
      </c>
      <c r="H441">
        <f t="shared" si="87"/>
        <v>0.30463180731769096</v>
      </c>
      <c r="I441">
        <v>532.04238750000002</v>
      </c>
      <c r="J441">
        <f t="shared" si="88"/>
        <v>1746.5096379287461</v>
      </c>
      <c r="K441" s="1">
        <v>1.19E-6</v>
      </c>
      <c r="L441" s="1">
        <f t="shared" si="89"/>
        <v>26748.390373249978</v>
      </c>
      <c r="M441" s="1">
        <f t="shared" si="90"/>
        <v>234315899.66966981</v>
      </c>
      <c r="N441">
        <f t="shared" si="91"/>
        <v>8.0922549605642217E+28</v>
      </c>
      <c r="O441">
        <v>6.7214111919999997</v>
      </c>
      <c r="P441" s="1">
        <f t="shared" si="92"/>
        <v>2.164547946850404E+33</v>
      </c>
      <c r="Q441" s="1">
        <f t="shared" si="93"/>
        <v>3.2203772169551329E+32</v>
      </c>
    </row>
    <row r="442" spans="1:17" x14ac:dyDescent="0.2">
      <c r="A442">
        <f t="shared" si="94"/>
        <v>441</v>
      </c>
      <c r="B442">
        <f t="shared" si="100"/>
        <v>157.89473684210526</v>
      </c>
      <c r="C442">
        <f t="shared" si="95"/>
        <v>441000</v>
      </c>
      <c r="E442" t="s">
        <v>11</v>
      </c>
      <c r="F442">
        <v>13.15864182</v>
      </c>
      <c r="G442">
        <v>43.429000000000002</v>
      </c>
      <c r="H442">
        <f t="shared" si="87"/>
        <v>0.30299205185475142</v>
      </c>
      <c r="I442">
        <v>671.21458289999998</v>
      </c>
      <c r="J442">
        <f t="shared" si="88"/>
        <v>2215.2877568609206</v>
      </c>
      <c r="K442" s="1">
        <v>1.2100000000000001E-6</v>
      </c>
      <c r="L442" s="1">
        <f t="shared" si="89"/>
        <v>26023.830525696914</v>
      </c>
      <c r="M442" s="1">
        <f t="shared" si="90"/>
        <v>227968755.40510496</v>
      </c>
      <c r="N442">
        <f t="shared" si="91"/>
        <v>4.4661340904947262E+36</v>
      </c>
      <c r="O442">
        <v>7.0445559610000004</v>
      </c>
      <c r="P442" s="1">
        <f t="shared" si="92"/>
        <v>1.1622591667607228E+41</v>
      </c>
      <c r="Q442" s="1">
        <f t="shared" si="93"/>
        <v>1.6498685980993128E+40</v>
      </c>
    </row>
    <row r="443" spans="1:17" x14ac:dyDescent="0.2">
      <c r="A443">
        <f t="shared" si="94"/>
        <v>442</v>
      </c>
      <c r="B443">
        <f t="shared" si="100"/>
        <v>157.89473684210526</v>
      </c>
      <c r="C443">
        <f t="shared" si="95"/>
        <v>442000</v>
      </c>
      <c r="E443" t="s">
        <v>11</v>
      </c>
      <c r="F443">
        <v>13.00137241</v>
      </c>
      <c r="G443">
        <v>43.429000000000002</v>
      </c>
      <c r="H443">
        <f t="shared" si="87"/>
        <v>0.29937075249257405</v>
      </c>
      <c r="I443">
        <v>711.36119550000001</v>
      </c>
      <c r="J443">
        <f t="shared" si="88"/>
        <v>2376.1880196284219</v>
      </c>
      <c r="K443" s="1">
        <v>1.2500000000000001E-6</v>
      </c>
      <c r="L443" s="1">
        <f t="shared" si="89"/>
        <v>24592.509339722979</v>
      </c>
      <c r="M443" s="1">
        <f t="shared" si="90"/>
        <v>215430381.81597331</v>
      </c>
      <c r="N443">
        <f t="shared" si="91"/>
        <v>2.0286013167403908E+39</v>
      </c>
      <c r="O443">
        <v>8.2382907539999994</v>
      </c>
      <c r="P443" s="1">
        <f t="shared" si="92"/>
        <v>4.9888396828512397E+43</v>
      </c>
      <c r="Q443" s="1">
        <f t="shared" si="93"/>
        <v>6.0556732358941938E+42</v>
      </c>
    </row>
    <row r="444" spans="1:17" x14ac:dyDescent="0.2">
      <c r="A444">
        <f t="shared" si="94"/>
        <v>443</v>
      </c>
      <c r="B444">
        <f t="shared" si="100"/>
        <v>157.89473684210526</v>
      </c>
      <c r="C444">
        <f t="shared" si="95"/>
        <v>443000</v>
      </c>
      <c r="E444" t="s">
        <v>11</v>
      </c>
      <c r="F444">
        <v>12.710875890000001</v>
      </c>
      <c r="G444">
        <v>43.429000000000002</v>
      </c>
      <c r="H444">
        <f t="shared" si="87"/>
        <v>0.2926817538971655</v>
      </c>
      <c r="I444">
        <v>563.86484810000002</v>
      </c>
      <c r="J444">
        <f t="shared" si="88"/>
        <v>1926.545951675947</v>
      </c>
      <c r="K444" s="1">
        <v>1.33E-6</v>
      </c>
      <c r="L444" s="1">
        <f t="shared" si="89"/>
        <v>22091.936021851194</v>
      </c>
      <c r="M444" s="1">
        <f t="shared" si="90"/>
        <v>193525359.55141646</v>
      </c>
      <c r="N444">
        <f t="shared" si="91"/>
        <v>7.6096737932567643E+31</v>
      </c>
      <c r="O444">
        <v>11.08196472</v>
      </c>
      <c r="P444" s="1">
        <f t="shared" si="92"/>
        <v>1.6811242658778612E+36</v>
      </c>
      <c r="Q444" s="1">
        <f t="shared" si="93"/>
        <v>1.5169911729134806E+35</v>
      </c>
    </row>
    <row r="445" spans="1:17" x14ac:dyDescent="0.2">
      <c r="A445">
        <f t="shared" si="94"/>
        <v>444</v>
      </c>
      <c r="B445">
        <f t="shared" si="100"/>
        <v>157.89473684210526</v>
      </c>
      <c r="C445">
        <f t="shared" si="95"/>
        <v>444000</v>
      </c>
      <c r="E445" t="s">
        <v>11</v>
      </c>
      <c r="F445">
        <v>12.528627350000001</v>
      </c>
      <c r="G445">
        <v>43.429000000000002</v>
      </c>
      <c r="H445">
        <f t="shared" si="87"/>
        <v>0.28848528287549796</v>
      </c>
      <c r="I445">
        <v>502.01586959999997</v>
      </c>
      <c r="J445">
        <f t="shared" si="88"/>
        <v>1740.1784402868682</v>
      </c>
      <c r="K445" s="1">
        <v>1.39E-6</v>
      </c>
      <c r="L445" s="1">
        <f t="shared" si="89"/>
        <v>20536.510175154199</v>
      </c>
      <c r="M445" s="1">
        <f t="shared" si="90"/>
        <v>179899829.13435078</v>
      </c>
      <c r="N445">
        <f t="shared" si="91"/>
        <v>6.3607736647693511E+28</v>
      </c>
      <c r="O445">
        <v>12.264294400000001</v>
      </c>
      <c r="P445" s="1">
        <f t="shared" si="92"/>
        <v>1.3062809308838863E+33</v>
      </c>
      <c r="Q445" s="1">
        <f t="shared" si="93"/>
        <v>1.0651089155882348E+32</v>
      </c>
    </row>
    <row r="446" spans="1:17" x14ac:dyDescent="0.2">
      <c r="A446">
        <f t="shared" si="94"/>
        <v>445</v>
      </c>
      <c r="B446">
        <f t="shared" si="100"/>
        <v>157.89473684210526</v>
      </c>
      <c r="C446">
        <f t="shared" si="95"/>
        <v>445000</v>
      </c>
      <c r="E446" t="s">
        <v>11</v>
      </c>
      <c r="F446">
        <v>12.65798053</v>
      </c>
      <c r="G446">
        <v>43.429000000000002</v>
      </c>
      <c r="H446">
        <f t="shared" si="87"/>
        <v>0.29146378065348039</v>
      </c>
      <c r="I446">
        <v>446.95095679999997</v>
      </c>
      <c r="J446">
        <f t="shared" si="88"/>
        <v>1533.4699762622561</v>
      </c>
      <c r="K446" s="1">
        <v>1.35E-6</v>
      </c>
      <c r="L446" s="1">
        <f t="shared" si="89"/>
        <v>21583.881076635043</v>
      </c>
      <c r="M446" s="1">
        <f t="shared" si="90"/>
        <v>189074798.23132297</v>
      </c>
      <c r="N446">
        <f t="shared" si="91"/>
        <v>2.4531458960562966E+25</v>
      </c>
      <c r="O446">
        <v>12.3783455</v>
      </c>
      <c r="P446" s="1">
        <f t="shared" si="92"/>
        <v>5.2948409284114416E+29</v>
      </c>
      <c r="Q446" s="1">
        <f t="shared" si="93"/>
        <v>4.2775029412545008E+28</v>
      </c>
    </row>
    <row r="447" spans="1:17" x14ac:dyDescent="0.2">
      <c r="A447">
        <f t="shared" si="94"/>
        <v>446</v>
      </c>
      <c r="B447">
        <f t="shared" si="100"/>
        <v>157.89473684210526</v>
      </c>
      <c r="C447">
        <f t="shared" si="95"/>
        <v>446000</v>
      </c>
      <c r="E447" t="s">
        <v>11</v>
      </c>
      <c r="F447">
        <v>12.53143699</v>
      </c>
      <c r="G447">
        <v>43.429000000000002</v>
      </c>
      <c r="H447">
        <f t="shared" si="87"/>
        <v>0.28854997789495496</v>
      </c>
      <c r="I447">
        <v>1132.1930130000001</v>
      </c>
      <c r="J447">
        <f t="shared" si="88"/>
        <v>3923.7328010198939</v>
      </c>
      <c r="K447" s="1">
        <v>1.39E-6</v>
      </c>
      <c r="L447" s="1">
        <f t="shared" si="89"/>
        <v>20545.722145259278</v>
      </c>
      <c r="M447" s="1">
        <f t="shared" si="90"/>
        <v>179980525.99247128</v>
      </c>
      <c r="N447">
        <f t="shared" si="91"/>
        <v>7.3260676820512276E+64</v>
      </c>
      <c r="O447">
        <v>12.800334550000001</v>
      </c>
      <c r="P447" s="1">
        <f t="shared" si="92"/>
        <v>1.5051935101278823E+69</v>
      </c>
      <c r="Q447" s="1">
        <f t="shared" si="93"/>
        <v>1.175901695575513E+68</v>
      </c>
    </row>
    <row r="448" spans="1:17" x14ac:dyDescent="0.2">
      <c r="A448">
        <f t="shared" si="94"/>
        <v>447</v>
      </c>
      <c r="B448">
        <f t="shared" si="100"/>
        <v>157.89473684210526</v>
      </c>
      <c r="C448">
        <f t="shared" si="95"/>
        <v>447000</v>
      </c>
      <c r="E448" t="s">
        <v>11</v>
      </c>
      <c r="F448">
        <v>12.53155535</v>
      </c>
      <c r="G448">
        <v>43.429000000000002</v>
      </c>
      <c r="H448">
        <f t="shared" si="87"/>
        <v>0.28855270326279675</v>
      </c>
      <c r="I448">
        <v>897.43978930000003</v>
      </c>
      <c r="J448">
        <f t="shared" si="88"/>
        <v>3110.1416800197671</v>
      </c>
      <c r="K448" s="1">
        <v>1.39E-6</v>
      </c>
      <c r="L448" s="1">
        <f t="shared" si="89"/>
        <v>20546.110257677556</v>
      </c>
      <c r="M448" s="1">
        <f t="shared" si="90"/>
        <v>179983925.8572554</v>
      </c>
      <c r="N448">
        <f t="shared" si="91"/>
        <v>2.6818112001109733E+51</v>
      </c>
      <c r="O448">
        <v>13.46943431</v>
      </c>
      <c r="P448" s="1">
        <f t="shared" si="92"/>
        <v>5.5100788607754627E+55</v>
      </c>
      <c r="Q448" s="1">
        <f t="shared" si="93"/>
        <v>4.0908019846718139E+54</v>
      </c>
    </row>
    <row r="449" spans="1:17" x14ac:dyDescent="0.2">
      <c r="A449">
        <f t="shared" si="94"/>
        <v>448</v>
      </c>
      <c r="B449">
        <f t="shared" si="100"/>
        <v>157.89473684210526</v>
      </c>
      <c r="C449">
        <f t="shared" si="95"/>
        <v>448000</v>
      </c>
      <c r="E449" t="s">
        <v>11</v>
      </c>
      <c r="F449">
        <v>12.538960360000001</v>
      </c>
      <c r="G449">
        <v>43.429000000000002</v>
      </c>
      <c r="H449">
        <f t="shared" si="87"/>
        <v>0.28872321167883214</v>
      </c>
      <c r="I449">
        <v>532.04238750000002</v>
      </c>
      <c r="J449">
        <f t="shared" si="88"/>
        <v>1842.7419964136086</v>
      </c>
      <c r="K449" s="1">
        <v>1.3799999999999999E-6</v>
      </c>
      <c r="L449" s="1">
        <f t="shared" si="89"/>
        <v>20719.46006232893</v>
      </c>
      <c r="M449" s="1">
        <f t="shared" si="90"/>
        <v>181502470.14600143</v>
      </c>
      <c r="N449">
        <f t="shared" si="91"/>
        <v>3.1430061196832898E+30</v>
      </c>
      <c r="O449">
        <v>14.020681270000001</v>
      </c>
      <c r="P449" s="1">
        <f t="shared" si="92"/>
        <v>6.5121389772433343E+34</v>
      </c>
      <c r="Q449" s="1">
        <f t="shared" si="93"/>
        <v>4.6446665834828826E+33</v>
      </c>
    </row>
    <row r="450" spans="1:17" x14ac:dyDescent="0.2">
      <c r="A450">
        <f t="shared" si="94"/>
        <v>449</v>
      </c>
      <c r="B450">
        <f t="shared" si="100"/>
        <v>157.89473684210526</v>
      </c>
      <c r="C450">
        <f t="shared" si="95"/>
        <v>449000</v>
      </c>
      <c r="E450" t="s">
        <v>11</v>
      </c>
      <c r="F450">
        <v>12.41423356</v>
      </c>
      <c r="G450">
        <v>43.429000000000002</v>
      </c>
      <c r="H450">
        <f t="shared" si="87"/>
        <v>0.28585124133643414</v>
      </c>
      <c r="I450">
        <v>671.21458289999998</v>
      </c>
      <c r="J450">
        <f t="shared" si="88"/>
        <v>2348.1254786996374</v>
      </c>
      <c r="K450" s="1">
        <v>1.42E-6</v>
      </c>
      <c r="L450" s="1">
        <f t="shared" si="89"/>
        <v>19737.218123618346</v>
      </c>
      <c r="M450" s="1">
        <f t="shared" si="90"/>
        <v>172898030.76289672</v>
      </c>
      <c r="N450">
        <f t="shared" si="91"/>
        <v>6.9782149752553258E+38</v>
      </c>
      <c r="O450">
        <v>14.22977494</v>
      </c>
      <c r="P450" s="1">
        <f t="shared" si="92"/>
        <v>1.3773055108011438E+43</v>
      </c>
      <c r="Q450" s="1">
        <f t="shared" si="93"/>
        <v>9.6790393144555504E+41</v>
      </c>
    </row>
    <row r="451" spans="1:17" x14ac:dyDescent="0.2">
      <c r="A451">
        <f t="shared" si="94"/>
        <v>450</v>
      </c>
      <c r="B451">
        <f t="shared" ref="B451:B455" si="101">3000/19</f>
        <v>157.89473684210526</v>
      </c>
      <c r="C451">
        <f t="shared" si="95"/>
        <v>450000</v>
      </c>
      <c r="E451" t="s">
        <v>11</v>
      </c>
      <c r="F451">
        <v>12.37540463</v>
      </c>
      <c r="G451">
        <v>43.429000000000002</v>
      </c>
      <c r="H451">
        <f t="shared" ref="H451:H514" si="102">F451/43.429</f>
        <v>0.28495716295562873</v>
      </c>
      <c r="I451">
        <v>1132.1930130000001</v>
      </c>
      <c r="J451">
        <f t="shared" ref="J451:J514" si="103">I451/H451</f>
        <v>3973.2042572879495</v>
      </c>
      <c r="K451" s="1">
        <v>1.44E-6</v>
      </c>
      <c r="L451" s="1">
        <f t="shared" ref="L451:L514" si="104">((H451^2)*0.343)/(K451)</f>
        <v>19341.528165877931</v>
      </c>
      <c r="M451" s="1">
        <f t="shared" ref="M451:M514" si="105">L451*8760</f>
        <v>169431786.73309067</v>
      </c>
      <c r="N451">
        <f t="shared" ref="N451:N514" si="106">EXP((J451+3.9052)/(26.297))</f>
        <v>4.8071883314361801E+65</v>
      </c>
      <c r="O451">
        <v>14.41225669</v>
      </c>
      <c r="P451" s="1">
        <f t="shared" ref="P451:P514" si="107">L451*N451</f>
        <v>9.2978368511152618E+69</v>
      </c>
      <c r="Q451" s="1">
        <f t="shared" ref="Q451:Q514" si="108">P451/O451</f>
        <v>6.451340030299767E+68</v>
      </c>
    </row>
    <row r="452" spans="1:17" x14ac:dyDescent="0.2">
      <c r="A452">
        <f t="shared" ref="A452:A515" si="109">A451+1</f>
        <v>451</v>
      </c>
      <c r="B452">
        <f t="shared" si="101"/>
        <v>157.89473684210526</v>
      </c>
      <c r="C452">
        <f t="shared" ref="C452:C515" si="110">C451+1000</f>
        <v>451000</v>
      </c>
      <c r="E452" t="s">
        <v>11</v>
      </c>
      <c r="F452">
        <v>12.190109440000001</v>
      </c>
      <c r="G452">
        <v>43.429000000000002</v>
      </c>
      <c r="H452">
        <f t="shared" si="102"/>
        <v>0.28069053950125494</v>
      </c>
      <c r="I452">
        <v>597.59067030000006</v>
      </c>
      <c r="J452">
        <f t="shared" si="103"/>
        <v>2129.0018230105979</v>
      </c>
      <c r="K452" s="1">
        <v>1.5E-6</v>
      </c>
      <c r="L452" s="1">
        <f t="shared" si="104"/>
        <v>18016.001590112272</v>
      </c>
      <c r="M452" s="1">
        <f t="shared" si="105"/>
        <v>157820173.92938349</v>
      </c>
      <c r="N452">
        <f t="shared" si="106"/>
        <v>1.678499100741008E+35</v>
      </c>
      <c r="O452">
        <v>15.294251819999999</v>
      </c>
      <c r="P452" s="1">
        <f t="shared" si="107"/>
        <v>3.0239842467952018E+39</v>
      </c>
      <c r="Q452" s="1">
        <f t="shared" si="108"/>
        <v>1.9772031233595852E+38</v>
      </c>
    </row>
    <row r="453" spans="1:17" x14ac:dyDescent="0.2">
      <c r="A453">
        <f t="shared" si="109"/>
        <v>452</v>
      </c>
      <c r="B453">
        <f t="shared" si="101"/>
        <v>157.89473684210526</v>
      </c>
      <c r="C453">
        <f t="shared" si="110"/>
        <v>452000</v>
      </c>
      <c r="E453" t="s">
        <v>11</v>
      </c>
      <c r="F453">
        <v>12.10891282</v>
      </c>
      <c r="G453">
        <v>43.429000000000002</v>
      </c>
      <c r="H453">
        <f t="shared" si="102"/>
        <v>0.27882089893849732</v>
      </c>
      <c r="I453">
        <v>421.72668670000002</v>
      </c>
      <c r="J453">
        <f t="shared" si="103"/>
        <v>1512.5361416793403</v>
      </c>
      <c r="K453" s="1">
        <v>1.53E-6</v>
      </c>
      <c r="L453" s="1">
        <f t="shared" si="104"/>
        <v>17428.232113667327</v>
      </c>
      <c r="M453" s="1">
        <f t="shared" si="105"/>
        <v>152671313.31572577</v>
      </c>
      <c r="N453">
        <f t="shared" si="106"/>
        <v>1.1066275456443186E+25</v>
      </c>
      <c r="O453">
        <v>15.830291969999999</v>
      </c>
      <c r="P453" s="1">
        <f t="shared" si="107"/>
        <v>1.9286561728867171E+29</v>
      </c>
      <c r="Q453" s="1">
        <f t="shared" si="108"/>
        <v>1.2183326602830291E+28</v>
      </c>
    </row>
    <row r="454" spans="1:17" x14ac:dyDescent="0.2">
      <c r="A454">
        <f t="shared" si="109"/>
        <v>453</v>
      </c>
      <c r="B454">
        <f t="shared" si="101"/>
        <v>157.89473684210526</v>
      </c>
      <c r="C454">
        <f t="shared" si="110"/>
        <v>453000</v>
      </c>
      <c r="E454" t="s">
        <v>11</v>
      </c>
      <c r="F454">
        <v>12.02109083</v>
      </c>
      <c r="G454">
        <v>43.429000000000002</v>
      </c>
      <c r="H454">
        <f t="shared" si="102"/>
        <v>0.27679870201938794</v>
      </c>
      <c r="I454">
        <v>597.59067030000006</v>
      </c>
      <c r="J454">
        <f t="shared" si="103"/>
        <v>2158.9359557695566</v>
      </c>
      <c r="K454" s="1">
        <v>1.5600000000000001E-6</v>
      </c>
      <c r="L454" s="1">
        <f t="shared" si="104"/>
        <v>16846.031957557017</v>
      </c>
      <c r="M454" s="1">
        <f t="shared" si="105"/>
        <v>147571239.94819948</v>
      </c>
      <c r="N454">
        <f t="shared" si="106"/>
        <v>5.2394147319685658E+35</v>
      </c>
      <c r="O454">
        <v>16.50319343</v>
      </c>
      <c r="P454" s="1">
        <f t="shared" si="107"/>
        <v>8.8263348013637493E+39</v>
      </c>
      <c r="Q454" s="1">
        <f t="shared" si="108"/>
        <v>5.3482587105347585E+38</v>
      </c>
    </row>
    <row r="455" spans="1:17" x14ac:dyDescent="0.2">
      <c r="A455">
        <f t="shared" si="109"/>
        <v>454</v>
      </c>
      <c r="B455">
        <f t="shared" si="101"/>
        <v>157.89473684210526</v>
      </c>
      <c r="C455">
        <f t="shared" si="110"/>
        <v>454000</v>
      </c>
      <c r="E455" t="s">
        <v>11</v>
      </c>
      <c r="F455">
        <v>11.894655459999999</v>
      </c>
      <c r="G455">
        <v>43.429000000000002</v>
      </c>
      <c r="H455">
        <f t="shared" si="102"/>
        <v>0.27388738999286188</v>
      </c>
      <c r="I455">
        <v>250.01841450000001</v>
      </c>
      <c r="J455">
        <f t="shared" si="103"/>
        <v>912.85113384196347</v>
      </c>
      <c r="K455" s="1">
        <v>1.61E-6</v>
      </c>
      <c r="L455" s="1">
        <f t="shared" si="104"/>
        <v>15981.307901991302</v>
      </c>
      <c r="M455" s="1">
        <f t="shared" si="105"/>
        <v>139996257.2214438</v>
      </c>
      <c r="N455">
        <f t="shared" si="106"/>
        <v>1381065767309143</v>
      </c>
      <c r="O455">
        <v>17.685523109999998</v>
      </c>
      <c r="P455" s="1">
        <f t="shared" si="107"/>
        <v>2.2071237260267287E+19</v>
      </c>
      <c r="Q455" s="1">
        <f t="shared" si="108"/>
        <v>1.2479832868380045E+18</v>
      </c>
    </row>
    <row r="456" spans="1:17" x14ac:dyDescent="0.2">
      <c r="A456">
        <f t="shared" si="109"/>
        <v>455</v>
      </c>
      <c r="B456">
        <f t="shared" ref="B456:B460" si="111">3000/19</f>
        <v>157.89473684210526</v>
      </c>
      <c r="C456">
        <f t="shared" si="110"/>
        <v>455000</v>
      </c>
      <c r="E456" t="s">
        <v>11</v>
      </c>
      <c r="F456">
        <v>11.72711337</v>
      </c>
      <c r="G456">
        <v>43.429000000000002</v>
      </c>
      <c r="H456">
        <f t="shared" si="102"/>
        <v>0.27002955099127307</v>
      </c>
      <c r="I456">
        <v>753.90905290000001</v>
      </c>
      <c r="J456">
        <f t="shared" si="103"/>
        <v>2791.9501777950413</v>
      </c>
      <c r="K456" s="1">
        <v>1.6700000000000001E-6</v>
      </c>
      <c r="L456" s="1">
        <f t="shared" si="104"/>
        <v>14976.15193660608</v>
      </c>
      <c r="M456" s="1">
        <f t="shared" si="105"/>
        <v>131191090.96466926</v>
      </c>
      <c r="N456">
        <f t="shared" si="106"/>
        <v>1.4910810999562957E+46</v>
      </c>
      <c r="O456">
        <v>17.677919710000001</v>
      </c>
      <c r="P456" s="1">
        <f t="shared" si="107"/>
        <v>2.2330657102747202E+50</v>
      </c>
      <c r="Q456" s="1">
        <f t="shared" si="108"/>
        <v>1.2631948480971578E+49</v>
      </c>
    </row>
    <row r="457" spans="1:17" x14ac:dyDescent="0.2">
      <c r="A457">
        <f t="shared" si="109"/>
        <v>456</v>
      </c>
      <c r="B457">
        <f t="shared" si="111"/>
        <v>157.89473684210526</v>
      </c>
      <c r="C457">
        <f t="shared" si="110"/>
        <v>456000</v>
      </c>
      <c r="E457" t="s">
        <v>11</v>
      </c>
      <c r="F457">
        <v>11.58531835</v>
      </c>
      <c r="G457">
        <v>43.429000000000002</v>
      </c>
      <c r="H457">
        <f t="shared" si="102"/>
        <v>0.266764566303622</v>
      </c>
      <c r="I457">
        <v>473.68393809999998</v>
      </c>
      <c r="J457">
        <f t="shared" si="103"/>
        <v>1775.6628800575772</v>
      </c>
      <c r="K457" s="1">
        <v>1.73E-6</v>
      </c>
      <c r="L457" s="1">
        <f t="shared" si="104"/>
        <v>14109.262141884232</v>
      </c>
      <c r="M457" s="1">
        <f t="shared" si="105"/>
        <v>123597136.36290587</v>
      </c>
      <c r="N457">
        <f t="shared" si="106"/>
        <v>2.4520810823629464E+29</v>
      </c>
      <c r="O457">
        <v>17.305352800000001</v>
      </c>
      <c r="P457" s="1">
        <f t="shared" si="107"/>
        <v>3.4597054784214032E+33</v>
      </c>
      <c r="Q457" s="1">
        <f t="shared" si="108"/>
        <v>1.9992111795729486E+32</v>
      </c>
    </row>
    <row r="458" spans="1:17" x14ac:dyDescent="0.2">
      <c r="A458">
        <f t="shared" si="109"/>
        <v>457</v>
      </c>
      <c r="B458">
        <f t="shared" si="111"/>
        <v>157.89473684210526</v>
      </c>
      <c r="C458">
        <f t="shared" si="110"/>
        <v>457000</v>
      </c>
      <c r="E458" t="s">
        <v>11</v>
      </c>
      <c r="F458">
        <v>11.446091819999999</v>
      </c>
      <c r="G458">
        <v>43.429000000000002</v>
      </c>
      <c r="H458">
        <f t="shared" si="102"/>
        <v>0.26355872389417206</v>
      </c>
      <c r="I458">
        <v>473.68393809999998</v>
      </c>
      <c r="J458">
        <f t="shared" si="103"/>
        <v>1797.2614645463243</v>
      </c>
      <c r="K458" s="1">
        <v>1.7999999999999999E-6</v>
      </c>
      <c r="L458" s="1">
        <f t="shared" si="104"/>
        <v>13236.598845926936</v>
      </c>
      <c r="M458" s="1">
        <f t="shared" si="105"/>
        <v>115952605.89031996</v>
      </c>
      <c r="N458">
        <f t="shared" si="106"/>
        <v>5.5748740627731887E+29</v>
      </c>
      <c r="O458">
        <v>17.776763989999999</v>
      </c>
      <c r="P458" s="1">
        <f t="shared" si="107"/>
        <v>7.37923715854916E+33</v>
      </c>
      <c r="Q458" s="1">
        <f t="shared" si="108"/>
        <v>4.1510576180795436E+32</v>
      </c>
    </row>
    <row r="459" spans="1:17" x14ac:dyDescent="0.2">
      <c r="A459">
        <f t="shared" si="109"/>
        <v>458</v>
      </c>
      <c r="B459">
        <f t="shared" si="111"/>
        <v>157.89473684210526</v>
      </c>
      <c r="C459">
        <f t="shared" si="110"/>
        <v>458000</v>
      </c>
      <c r="E459" t="s">
        <v>11</v>
      </c>
      <c r="F459">
        <v>11.38041361</v>
      </c>
      <c r="G459">
        <v>43.429000000000002</v>
      </c>
      <c r="H459">
        <f t="shared" si="102"/>
        <v>0.26204641161435904</v>
      </c>
      <c r="I459">
        <v>473.68393809999998</v>
      </c>
      <c r="J459">
        <f t="shared" si="103"/>
        <v>1807.6337515245109</v>
      </c>
      <c r="K459" s="1">
        <v>1.8300000000000001E-6</v>
      </c>
      <c r="L459" s="1">
        <f t="shared" si="104"/>
        <v>12870.61988585082</v>
      </c>
      <c r="M459" s="1">
        <f t="shared" si="105"/>
        <v>112746630.20005319</v>
      </c>
      <c r="N459">
        <f t="shared" si="106"/>
        <v>8.2705271925659542E+29</v>
      </c>
      <c r="O459">
        <v>17.643704379999999</v>
      </c>
      <c r="P459" s="1">
        <f t="shared" si="107"/>
        <v>1.0644681175110932E+34</v>
      </c>
      <c r="Q459" s="1">
        <f t="shared" si="108"/>
        <v>6.0331328080837707E+32</v>
      </c>
    </row>
    <row r="460" spans="1:17" x14ac:dyDescent="0.2">
      <c r="A460">
        <f t="shared" si="109"/>
        <v>459</v>
      </c>
      <c r="B460">
        <f t="shared" si="111"/>
        <v>157.89473684210526</v>
      </c>
      <c r="C460">
        <f t="shared" si="110"/>
        <v>459000</v>
      </c>
      <c r="E460" t="s">
        <v>11</v>
      </c>
      <c r="F460">
        <v>11.29547346</v>
      </c>
      <c r="G460">
        <v>43.429000000000002</v>
      </c>
      <c r="H460">
        <f t="shared" si="102"/>
        <v>0.26009057219830067</v>
      </c>
      <c r="I460">
        <v>473.68393809999998</v>
      </c>
      <c r="J460">
        <f t="shared" si="103"/>
        <v>1821.2268676115236</v>
      </c>
      <c r="K460" s="1">
        <v>1.8700000000000001E-6</v>
      </c>
      <c r="L460" s="1">
        <f t="shared" si="104"/>
        <v>12407.998540657076</v>
      </c>
      <c r="M460" s="1">
        <f t="shared" si="105"/>
        <v>108694067.21615599</v>
      </c>
      <c r="N460">
        <f t="shared" si="106"/>
        <v>1.3868301077827669E+30</v>
      </c>
      <c r="O460">
        <v>18.518096109999998</v>
      </c>
      <c r="P460" s="1">
        <f t="shared" si="107"/>
        <v>1.7207785953507868E+34</v>
      </c>
      <c r="Q460" s="1">
        <f t="shared" si="108"/>
        <v>9.292416375469319E+32</v>
      </c>
    </row>
    <row r="461" spans="1:17" x14ac:dyDescent="0.2">
      <c r="A461">
        <f t="shared" si="109"/>
        <v>460</v>
      </c>
      <c r="B461">
        <f t="shared" ref="B461:B475" si="112">3000/19</f>
        <v>157.89473684210526</v>
      </c>
      <c r="C461">
        <f t="shared" si="110"/>
        <v>460000</v>
      </c>
      <c r="E461" t="s">
        <v>11</v>
      </c>
      <c r="F461">
        <v>12.586001359999999</v>
      </c>
      <c r="G461">
        <v>43.429000000000002</v>
      </c>
      <c r="H461">
        <f t="shared" si="102"/>
        <v>0.28980638191070479</v>
      </c>
      <c r="I461">
        <v>711.36119550000001</v>
      </c>
      <c r="J461">
        <f t="shared" si="103"/>
        <v>2454.6084555142224</v>
      </c>
      <c r="K461" s="1">
        <v>1.37E-6</v>
      </c>
      <c r="L461" s="1">
        <f t="shared" si="104"/>
        <v>21027.587208530975</v>
      </c>
      <c r="M461" s="1">
        <f t="shared" si="105"/>
        <v>184201663.94673133</v>
      </c>
      <c r="N461">
        <f t="shared" si="106"/>
        <v>4.0022921850185266E+40</v>
      </c>
      <c r="O461">
        <v>5.8888382000000004</v>
      </c>
      <c r="P461" s="1">
        <f t="shared" si="107"/>
        <v>8.4158547954499047E+44</v>
      </c>
      <c r="Q461" s="1">
        <f t="shared" si="108"/>
        <v>1.4291197193106621E+44</v>
      </c>
    </row>
    <row r="462" spans="1:17" x14ac:dyDescent="0.2">
      <c r="A462">
        <f t="shared" si="109"/>
        <v>461</v>
      </c>
      <c r="B462">
        <f t="shared" si="112"/>
        <v>157.89473684210526</v>
      </c>
      <c r="C462">
        <f t="shared" si="110"/>
        <v>461000</v>
      </c>
      <c r="E462" t="s">
        <v>11</v>
      </c>
      <c r="F462">
        <v>12.77806466</v>
      </c>
      <c r="G462">
        <v>43.429000000000002</v>
      </c>
      <c r="H462">
        <f t="shared" si="102"/>
        <v>0.29422884846531117</v>
      </c>
      <c r="I462">
        <v>563.86484810000002</v>
      </c>
      <c r="J462">
        <f t="shared" si="103"/>
        <v>1916.415915846125</v>
      </c>
      <c r="K462" s="1">
        <v>1.31E-6</v>
      </c>
      <c r="L462" s="1">
        <f t="shared" si="104"/>
        <v>22666.962623926338</v>
      </c>
      <c r="M462" s="1">
        <f t="shared" si="105"/>
        <v>198562592.58559471</v>
      </c>
      <c r="N462">
        <f t="shared" si="106"/>
        <v>5.1768869430614198E+31</v>
      </c>
      <c r="O462">
        <v>5.672141119</v>
      </c>
      <c r="P462" s="1">
        <f t="shared" si="107"/>
        <v>1.1734430284666548E+36</v>
      </c>
      <c r="Q462" s="1">
        <f t="shared" si="108"/>
        <v>2.0687832052273289E+35</v>
      </c>
    </row>
    <row r="463" spans="1:17" x14ac:dyDescent="0.2">
      <c r="A463">
        <f t="shared" si="109"/>
        <v>462</v>
      </c>
      <c r="B463">
        <f t="shared" si="112"/>
        <v>157.89473684210526</v>
      </c>
      <c r="C463">
        <f t="shared" si="110"/>
        <v>462000</v>
      </c>
      <c r="E463" t="s">
        <v>11</v>
      </c>
      <c r="F463">
        <v>12.84404374</v>
      </c>
      <c r="G463">
        <v>43.429000000000002</v>
      </c>
      <c r="H463">
        <f t="shared" si="102"/>
        <v>0.29574808860438878</v>
      </c>
      <c r="I463">
        <v>532.04238750000002</v>
      </c>
      <c r="J463">
        <f t="shared" si="103"/>
        <v>1798.9715166399378</v>
      </c>
      <c r="K463" s="1">
        <v>1.2899999999999999E-6</v>
      </c>
      <c r="L463" s="1">
        <f t="shared" si="104"/>
        <v>23256.711353651353</v>
      </c>
      <c r="M463" s="1">
        <f t="shared" si="105"/>
        <v>203728791.45798585</v>
      </c>
      <c r="N463">
        <f t="shared" si="106"/>
        <v>5.9494461863185623E+29</v>
      </c>
      <c r="O463">
        <v>6.2461982970000003</v>
      </c>
      <c r="P463" s="1">
        <f t="shared" si="107"/>
        <v>1.3836455266929266E+34</v>
      </c>
      <c r="Q463" s="1">
        <f t="shared" si="108"/>
        <v>2.2151802759087564E+33</v>
      </c>
    </row>
    <row r="464" spans="1:17" x14ac:dyDescent="0.2">
      <c r="A464">
        <f t="shared" si="109"/>
        <v>463</v>
      </c>
      <c r="B464">
        <f t="shared" si="112"/>
        <v>157.89473684210526</v>
      </c>
      <c r="C464">
        <f t="shared" si="110"/>
        <v>463000</v>
      </c>
      <c r="E464" t="s">
        <v>11</v>
      </c>
      <c r="F464">
        <v>12.41910594</v>
      </c>
      <c r="G464">
        <v>43.429000000000002</v>
      </c>
      <c r="H464">
        <f t="shared" si="102"/>
        <v>0.28596343318980405</v>
      </c>
      <c r="I464">
        <v>753.90905290000001</v>
      </c>
      <c r="J464">
        <f t="shared" si="103"/>
        <v>2636.3827168056268</v>
      </c>
      <c r="K464" s="1">
        <v>1.42E-6</v>
      </c>
      <c r="L464" s="1">
        <f t="shared" si="104"/>
        <v>19752.71422305841</v>
      </c>
      <c r="M464" s="1">
        <f t="shared" si="105"/>
        <v>173033776.59399167</v>
      </c>
      <c r="N464">
        <f t="shared" si="106"/>
        <v>4.0207534743046972E+43</v>
      </c>
      <c r="O464">
        <v>9.9642639899999992</v>
      </c>
      <c r="P464" s="1">
        <f t="shared" si="107"/>
        <v>7.9420794339309904E+47</v>
      </c>
      <c r="Q464" s="1">
        <f t="shared" si="108"/>
        <v>7.9705630460027498E+46</v>
      </c>
    </row>
    <row r="465" spans="1:17" x14ac:dyDescent="0.2">
      <c r="A465">
        <f t="shared" si="109"/>
        <v>464</v>
      </c>
      <c r="B465">
        <f t="shared" si="112"/>
        <v>157.89473684210526</v>
      </c>
      <c r="C465">
        <f t="shared" si="110"/>
        <v>464000</v>
      </c>
      <c r="E465" t="s">
        <v>11</v>
      </c>
      <c r="F465">
        <v>12.364035339999999</v>
      </c>
      <c r="G465">
        <v>43.429000000000002</v>
      </c>
      <c r="H465">
        <f t="shared" si="102"/>
        <v>0.28469537267724326</v>
      </c>
      <c r="I465">
        <v>633.33369760000005</v>
      </c>
      <c r="J465">
        <f t="shared" si="103"/>
        <v>2224.6013050517863</v>
      </c>
      <c r="K465" s="1">
        <v>1.44E-6</v>
      </c>
      <c r="L465" s="1">
        <f t="shared" si="104"/>
        <v>19306.006348455008</v>
      </c>
      <c r="M465" s="1">
        <f t="shared" si="105"/>
        <v>169120615.61246586</v>
      </c>
      <c r="N465">
        <f t="shared" si="106"/>
        <v>6.3642149428211403E+36</v>
      </c>
      <c r="O465">
        <v>10.68658759</v>
      </c>
      <c r="P465" s="1">
        <f t="shared" si="107"/>
        <v>1.2286757408903716E+41</v>
      </c>
      <c r="Q465" s="1">
        <f t="shared" si="108"/>
        <v>1.1497362750669894E+40</v>
      </c>
    </row>
    <row r="466" spans="1:17" x14ac:dyDescent="0.2">
      <c r="A466">
        <f t="shared" si="109"/>
        <v>465</v>
      </c>
      <c r="B466">
        <f t="shared" si="112"/>
        <v>157.89473684210526</v>
      </c>
      <c r="C466">
        <f t="shared" si="110"/>
        <v>465000</v>
      </c>
      <c r="E466" t="s">
        <v>11</v>
      </c>
      <c r="F466">
        <v>12.27919883</v>
      </c>
      <c r="G466">
        <v>43.429000000000002</v>
      </c>
      <c r="H466">
        <f t="shared" si="102"/>
        <v>0.28274191968500312</v>
      </c>
      <c r="I466">
        <v>597.59067030000006</v>
      </c>
      <c r="J466">
        <f t="shared" si="103"/>
        <v>2113.5552554985952</v>
      </c>
      <c r="K466" s="1">
        <v>1.4699999999999999E-6</v>
      </c>
      <c r="L466" s="1">
        <f t="shared" si="104"/>
        <v>18653.365067670849</v>
      </c>
      <c r="M466" s="1">
        <f t="shared" si="105"/>
        <v>163403477.99279663</v>
      </c>
      <c r="N466">
        <f t="shared" si="106"/>
        <v>9.3287043269478312E+34</v>
      </c>
      <c r="O466">
        <v>12.442974449999999</v>
      </c>
      <c r="P466" s="1">
        <f t="shared" si="107"/>
        <v>1.7401172741891858E+39</v>
      </c>
      <c r="Q466" s="1">
        <f t="shared" si="108"/>
        <v>1.3984737179856428E+38</v>
      </c>
    </row>
    <row r="467" spans="1:17" x14ac:dyDescent="0.2">
      <c r="A467">
        <f t="shared" si="109"/>
        <v>466</v>
      </c>
      <c r="B467">
        <f t="shared" si="112"/>
        <v>157.89473684210526</v>
      </c>
      <c r="C467">
        <f t="shared" si="110"/>
        <v>466000</v>
      </c>
      <c r="E467" t="s">
        <v>11</v>
      </c>
      <c r="F467">
        <v>12.292115519999999</v>
      </c>
      <c r="G467">
        <v>43.429000000000002</v>
      </c>
      <c r="H467">
        <f t="shared" si="102"/>
        <v>0.28303934053282365</v>
      </c>
      <c r="I467">
        <v>1132.1930130000001</v>
      </c>
      <c r="J467">
        <f t="shared" si="103"/>
        <v>4000.1259572914437</v>
      </c>
      <c r="K467" s="1">
        <v>1.46E-6</v>
      </c>
      <c r="L467" s="1">
        <f t="shared" si="104"/>
        <v>18820.660974804592</v>
      </c>
      <c r="M467" s="1">
        <f t="shared" si="105"/>
        <v>164868990.13928822</v>
      </c>
      <c r="N467">
        <f t="shared" si="106"/>
        <v>1.3381430045564856E+66</v>
      </c>
      <c r="O467">
        <v>12.868765209999999</v>
      </c>
      <c r="P467" s="1">
        <f t="shared" si="107"/>
        <v>2.5184735824564013E+70</v>
      </c>
      <c r="Q467" s="1">
        <f t="shared" si="108"/>
        <v>1.957043695613747E+69</v>
      </c>
    </row>
    <row r="468" spans="1:17" x14ac:dyDescent="0.2">
      <c r="A468">
        <f t="shared" si="109"/>
        <v>467</v>
      </c>
      <c r="B468">
        <f t="shared" si="112"/>
        <v>157.89473684210526</v>
      </c>
      <c r="C468">
        <f t="shared" si="110"/>
        <v>467000</v>
      </c>
      <c r="E468" t="s">
        <v>11</v>
      </c>
      <c r="F468">
        <v>12.22309087</v>
      </c>
      <c r="G468">
        <v>43.429000000000002</v>
      </c>
      <c r="H468">
        <f t="shared" si="102"/>
        <v>0.28144997282921547</v>
      </c>
      <c r="I468">
        <v>671.21458289999998</v>
      </c>
      <c r="J468">
        <f t="shared" si="103"/>
        <v>2384.8450797587911</v>
      </c>
      <c r="K468" s="1">
        <v>1.4899999999999999E-6</v>
      </c>
      <c r="L468" s="1">
        <f t="shared" si="104"/>
        <v>18235.189202355155</v>
      </c>
      <c r="M468" s="1">
        <f t="shared" si="105"/>
        <v>159740257.41263115</v>
      </c>
      <c r="N468">
        <f t="shared" si="106"/>
        <v>2.8194727099623855E+39</v>
      </c>
      <c r="O468">
        <v>13.617700729999999</v>
      </c>
      <c r="P468" s="1">
        <f t="shared" si="107"/>
        <v>5.1413618317041126E+43</v>
      </c>
      <c r="Q468" s="1">
        <f t="shared" si="108"/>
        <v>3.7754992077169204E+42</v>
      </c>
    </row>
    <row r="469" spans="1:17" x14ac:dyDescent="0.2">
      <c r="A469">
        <f t="shared" si="109"/>
        <v>468</v>
      </c>
      <c r="B469">
        <f t="shared" si="112"/>
        <v>157.89473684210526</v>
      </c>
      <c r="C469">
        <f t="shared" si="110"/>
        <v>468000</v>
      </c>
      <c r="E469" t="s">
        <v>11</v>
      </c>
      <c r="F469">
        <v>12.19969663</v>
      </c>
      <c r="G469">
        <v>43.429000000000002</v>
      </c>
      <c r="H469">
        <f t="shared" si="102"/>
        <v>0.28091129498722051</v>
      </c>
      <c r="I469">
        <v>753.90905290000001</v>
      </c>
      <c r="J469">
        <f t="shared" si="103"/>
        <v>2683.7975772184509</v>
      </c>
      <c r="K469" s="1">
        <v>1.5E-6</v>
      </c>
      <c r="L469" s="1">
        <f t="shared" si="104"/>
        <v>18044.350925619496</v>
      </c>
      <c r="M469" s="1">
        <f t="shared" si="105"/>
        <v>158068514.10842678</v>
      </c>
      <c r="N469">
        <f t="shared" si="106"/>
        <v>2.4398493567484631E+44</v>
      </c>
      <c r="O469">
        <v>13.68613139</v>
      </c>
      <c r="P469" s="1">
        <f t="shared" si="107"/>
        <v>4.402549799881626E+48</v>
      </c>
      <c r="Q469" s="1">
        <f t="shared" si="108"/>
        <v>3.2167963863757893E+47</v>
      </c>
    </row>
    <row r="470" spans="1:17" x14ac:dyDescent="0.2">
      <c r="A470">
        <f t="shared" si="109"/>
        <v>469</v>
      </c>
      <c r="B470">
        <f t="shared" si="112"/>
        <v>157.89473684210526</v>
      </c>
      <c r="C470">
        <f t="shared" si="110"/>
        <v>469000</v>
      </c>
      <c r="E470" t="s">
        <v>11</v>
      </c>
      <c r="F470">
        <v>11.72871462</v>
      </c>
      <c r="G470">
        <v>43.429000000000002</v>
      </c>
      <c r="H470">
        <f t="shared" si="102"/>
        <v>0.27006642151557714</v>
      </c>
      <c r="I470">
        <v>421.72668670000002</v>
      </c>
      <c r="J470">
        <f t="shared" si="103"/>
        <v>1561.5665373478328</v>
      </c>
      <c r="K470" s="1">
        <v>1.6700000000000001E-6</v>
      </c>
      <c r="L470" s="1">
        <f t="shared" si="104"/>
        <v>14980.241979861485</v>
      </c>
      <c r="M470" s="1">
        <f t="shared" si="105"/>
        <v>131226919.7435866</v>
      </c>
      <c r="N470">
        <f t="shared" si="106"/>
        <v>7.140647238691147E+25</v>
      </c>
      <c r="O470">
        <v>16.077402679999999</v>
      </c>
      <c r="P470" s="1">
        <f t="shared" si="107"/>
        <v>1.0696862352842311E+30</v>
      </c>
      <c r="Q470" s="1">
        <f t="shared" si="108"/>
        <v>6.6533522645103721E+28</v>
      </c>
    </row>
    <row r="471" spans="1:17" x14ac:dyDescent="0.2">
      <c r="A471">
        <f t="shared" si="109"/>
        <v>470</v>
      </c>
      <c r="B471">
        <f t="shared" si="112"/>
        <v>157.89473684210526</v>
      </c>
      <c r="C471">
        <f t="shared" si="110"/>
        <v>470000</v>
      </c>
      <c r="E471" t="s">
        <v>11</v>
      </c>
      <c r="F471">
        <v>13.27385793</v>
      </c>
      <c r="G471">
        <v>43.429000000000002</v>
      </c>
      <c r="H471">
        <f t="shared" si="102"/>
        <v>0.30564502820695849</v>
      </c>
      <c r="I471">
        <v>446.95095679999997</v>
      </c>
      <c r="J471">
        <f t="shared" si="103"/>
        <v>1462.320389839158</v>
      </c>
      <c r="K471" s="1">
        <v>1.1799999999999999E-6</v>
      </c>
      <c r="L471" s="1">
        <f t="shared" si="104"/>
        <v>27154.810983727064</v>
      </c>
      <c r="M471" s="1">
        <f t="shared" si="105"/>
        <v>237876144.21744907</v>
      </c>
      <c r="N471">
        <f t="shared" si="106"/>
        <v>1.6394162594504571E+24</v>
      </c>
      <c r="O471">
        <v>5.5809002430000003</v>
      </c>
      <c r="P471" s="1">
        <f t="shared" si="107"/>
        <v>4.4518038649026014E+28</v>
      </c>
      <c r="Q471" s="1">
        <f t="shared" si="108"/>
        <v>7.9768561899783115E+27</v>
      </c>
    </row>
    <row r="472" spans="1:17" x14ac:dyDescent="0.2">
      <c r="A472">
        <f t="shared" si="109"/>
        <v>471</v>
      </c>
      <c r="B472">
        <f t="shared" si="112"/>
        <v>157.89473684210526</v>
      </c>
      <c r="C472">
        <f t="shared" si="110"/>
        <v>471000</v>
      </c>
      <c r="E472" t="s">
        <v>11</v>
      </c>
      <c r="F472">
        <v>12.73590417</v>
      </c>
      <c r="G472">
        <v>43.429000000000002</v>
      </c>
      <c r="H472">
        <f t="shared" si="102"/>
        <v>0.2932580572889083</v>
      </c>
      <c r="I472">
        <v>354.27843819999998</v>
      </c>
      <c r="J472">
        <f t="shared" si="103"/>
        <v>1208.0774232606211</v>
      </c>
      <c r="K472" s="1">
        <v>1.33E-6</v>
      </c>
      <c r="L472" s="1">
        <f t="shared" si="104"/>
        <v>22179.021684622989</v>
      </c>
      <c r="M472" s="1">
        <f t="shared" si="105"/>
        <v>194288229.95729738</v>
      </c>
      <c r="N472">
        <f t="shared" si="106"/>
        <v>1.0372208038252614E+20</v>
      </c>
      <c r="O472">
        <v>7.3372871049999997</v>
      </c>
      <c r="P472" s="1">
        <f t="shared" si="107"/>
        <v>2.300454269978256E+24</v>
      </c>
      <c r="Q472" s="1">
        <f t="shared" si="108"/>
        <v>3.1352927002278674E+23</v>
      </c>
    </row>
    <row r="473" spans="1:17" x14ac:dyDescent="0.2">
      <c r="A473">
        <f t="shared" si="109"/>
        <v>472</v>
      </c>
      <c r="B473">
        <f t="shared" si="112"/>
        <v>157.89473684210526</v>
      </c>
      <c r="C473">
        <f t="shared" si="110"/>
        <v>472000</v>
      </c>
      <c r="E473" t="s">
        <v>11</v>
      </c>
      <c r="F473">
        <v>12.5248753</v>
      </c>
      <c r="G473">
        <v>43.429000000000002</v>
      </c>
      <c r="H473">
        <f t="shared" si="102"/>
        <v>0.28839888783992262</v>
      </c>
      <c r="I473">
        <v>597.59067030000006</v>
      </c>
      <c r="J473">
        <f t="shared" si="103"/>
        <v>2072.0976934962941</v>
      </c>
      <c r="K473" s="1">
        <v>1.39E-6</v>
      </c>
      <c r="L473" s="1">
        <f t="shared" si="104"/>
        <v>20524.211545327602</v>
      </c>
      <c r="M473" s="1">
        <f t="shared" si="105"/>
        <v>179792093.13706979</v>
      </c>
      <c r="N473">
        <f t="shared" si="106"/>
        <v>1.9281927150776137E+34</v>
      </c>
      <c r="O473">
        <v>7.5843978099999996</v>
      </c>
      <c r="P473" s="1">
        <f t="shared" si="107"/>
        <v>3.9574635184412536E+38</v>
      </c>
      <c r="Q473" s="1">
        <f t="shared" si="108"/>
        <v>5.2179007715330455E+37</v>
      </c>
    </row>
    <row r="474" spans="1:17" x14ac:dyDescent="0.2">
      <c r="A474">
        <f t="shared" si="109"/>
        <v>473</v>
      </c>
      <c r="B474">
        <f t="shared" si="112"/>
        <v>157.89473684210526</v>
      </c>
      <c r="C474">
        <f t="shared" si="110"/>
        <v>473000</v>
      </c>
      <c r="E474" t="s">
        <v>11</v>
      </c>
      <c r="F474">
        <v>12.47260049</v>
      </c>
      <c r="G474">
        <v>43.429000000000002</v>
      </c>
      <c r="H474">
        <f t="shared" si="102"/>
        <v>0.28719520343549237</v>
      </c>
      <c r="I474">
        <v>897.43978930000003</v>
      </c>
      <c r="J474">
        <f t="shared" si="103"/>
        <v>3124.8425411170774</v>
      </c>
      <c r="K474" s="1">
        <v>1.4100000000000001E-6</v>
      </c>
      <c r="L474" s="1">
        <f t="shared" si="104"/>
        <v>20064.547597581113</v>
      </c>
      <c r="M474" s="1">
        <f t="shared" si="105"/>
        <v>175765436.95481056</v>
      </c>
      <c r="N474">
        <f t="shared" si="106"/>
        <v>4.690429976353034E+51</v>
      </c>
      <c r="O474">
        <v>6.1131386860000001</v>
      </c>
      <c r="P474" s="1">
        <f t="shared" si="107"/>
        <v>9.4111355513656701E+55</v>
      </c>
      <c r="Q474" s="1">
        <f t="shared" si="108"/>
        <v>1.5394932185848449E+55</v>
      </c>
    </row>
    <row r="475" spans="1:17" x14ac:dyDescent="0.2">
      <c r="A475">
        <f t="shared" si="109"/>
        <v>474</v>
      </c>
      <c r="B475">
        <f t="shared" si="112"/>
        <v>157.89473684210526</v>
      </c>
      <c r="C475">
        <f t="shared" si="110"/>
        <v>474000</v>
      </c>
      <c r="E475" t="s">
        <v>11</v>
      </c>
      <c r="F475">
        <v>12.46153996</v>
      </c>
      <c r="G475">
        <v>43.429000000000002</v>
      </c>
      <c r="H475">
        <f t="shared" si="102"/>
        <v>0.28694052269221026</v>
      </c>
      <c r="I475">
        <v>597.59067030000006</v>
      </c>
      <c r="J475">
        <f t="shared" si="103"/>
        <v>2082.629057384871</v>
      </c>
      <c r="K475" s="1">
        <v>1.4100000000000001E-6</v>
      </c>
      <c r="L475" s="1">
        <f t="shared" si="104"/>
        <v>20028.977448274782</v>
      </c>
      <c r="M475" s="1">
        <f t="shared" si="105"/>
        <v>175453842.44688708</v>
      </c>
      <c r="N475">
        <f t="shared" si="106"/>
        <v>2.8779001569297259E+34</v>
      </c>
      <c r="O475">
        <v>5.9382603410000003</v>
      </c>
      <c r="P475" s="1">
        <f t="shared" si="107"/>
        <v>5.7641397341531939E+38</v>
      </c>
      <c r="Q475" s="1">
        <f t="shared" si="108"/>
        <v>9.706781789870997E+37</v>
      </c>
    </row>
    <row r="476" spans="1:17" x14ac:dyDescent="0.2">
      <c r="A476">
        <f t="shared" si="109"/>
        <v>475</v>
      </c>
      <c r="B476">
        <f t="shared" ref="B476:B500" si="113">3000/19</f>
        <v>157.89473684210526</v>
      </c>
      <c r="C476">
        <f t="shared" si="110"/>
        <v>475000</v>
      </c>
      <c r="E476" t="s">
        <v>11</v>
      </c>
      <c r="F476">
        <v>12.536089949999999</v>
      </c>
      <c r="G476">
        <v>43.429000000000002</v>
      </c>
      <c r="H476">
        <f t="shared" si="102"/>
        <v>0.28865711736397337</v>
      </c>
      <c r="I476">
        <v>2553.4272850000002</v>
      </c>
      <c r="J476">
        <f t="shared" si="103"/>
        <v>8845.8836848298943</v>
      </c>
      <c r="K476" s="1">
        <v>1.39E-6</v>
      </c>
      <c r="L476" s="1">
        <f t="shared" si="104"/>
        <v>20560.982353865755</v>
      </c>
      <c r="M476" s="1">
        <f t="shared" si="105"/>
        <v>180114205.419864</v>
      </c>
      <c r="N476">
        <f t="shared" si="106"/>
        <v>1.4259497475577964E+146</v>
      </c>
      <c r="O476">
        <v>5.9686739659999999</v>
      </c>
      <c r="P476" s="1">
        <f t="shared" si="107"/>
        <v>2.9318927597035179E+150</v>
      </c>
      <c r="Q476" s="1">
        <f t="shared" si="108"/>
        <v>4.9121342134027999E+149</v>
      </c>
    </row>
    <row r="477" spans="1:17" x14ac:dyDescent="0.2">
      <c r="A477">
        <f t="shared" si="109"/>
        <v>476</v>
      </c>
      <c r="B477">
        <f t="shared" si="113"/>
        <v>157.89473684210526</v>
      </c>
      <c r="C477">
        <f t="shared" si="110"/>
        <v>476000</v>
      </c>
      <c r="E477" t="s">
        <v>11</v>
      </c>
      <c r="F477">
        <v>12.7543782</v>
      </c>
      <c r="G477">
        <v>43.429000000000002</v>
      </c>
      <c r="H477">
        <f t="shared" si="102"/>
        <v>0.29368344193971768</v>
      </c>
      <c r="I477">
        <v>753.90905290000001</v>
      </c>
      <c r="J477">
        <f t="shared" si="103"/>
        <v>2567.0805542205189</v>
      </c>
      <c r="K477" s="1">
        <v>1.3200000000000001E-6</v>
      </c>
      <c r="L477" s="1">
        <f t="shared" si="104"/>
        <v>22411.922481711303</v>
      </c>
      <c r="M477" s="1">
        <f t="shared" si="105"/>
        <v>196328440.93979102</v>
      </c>
      <c r="N477">
        <f t="shared" si="106"/>
        <v>2.8825939949935804E+42</v>
      </c>
      <c r="O477">
        <v>6.8392639900000001</v>
      </c>
      <c r="P477" s="1">
        <f t="shared" si="107"/>
        <v>6.460447316204262E+46</v>
      </c>
      <c r="Q477" s="1">
        <f t="shared" si="108"/>
        <v>9.4461148533678141E+45</v>
      </c>
    </row>
    <row r="478" spans="1:17" x14ac:dyDescent="0.2">
      <c r="A478">
        <f t="shared" si="109"/>
        <v>477</v>
      </c>
      <c r="B478">
        <f t="shared" si="113"/>
        <v>157.89473684210526</v>
      </c>
      <c r="C478">
        <f t="shared" si="110"/>
        <v>477000</v>
      </c>
      <c r="E478" t="s">
        <v>11</v>
      </c>
      <c r="F478">
        <v>12.607755559999999</v>
      </c>
      <c r="G478">
        <v>43.429000000000002</v>
      </c>
      <c r="H478">
        <f t="shared" si="102"/>
        <v>0.29030729604642058</v>
      </c>
      <c r="I478">
        <v>597.59067030000006</v>
      </c>
      <c r="J478">
        <f t="shared" si="103"/>
        <v>2058.4762368646925</v>
      </c>
      <c r="K478" s="1">
        <v>1.3599999999999999E-6</v>
      </c>
      <c r="L478" s="1">
        <f t="shared" si="104"/>
        <v>21255.48960680878</v>
      </c>
      <c r="M478" s="1">
        <f t="shared" si="105"/>
        <v>186198088.95564491</v>
      </c>
      <c r="N478">
        <f t="shared" si="106"/>
        <v>1.14866219179123E+34</v>
      </c>
      <c r="O478">
        <v>7.2764598539999996</v>
      </c>
      <c r="P478" s="1">
        <f t="shared" si="107"/>
        <v>2.4415377279352685E+38</v>
      </c>
      <c r="Q478" s="1">
        <f t="shared" si="108"/>
        <v>3.355392288178587E+37</v>
      </c>
    </row>
    <row r="479" spans="1:17" x14ac:dyDescent="0.2">
      <c r="A479">
        <f t="shared" si="109"/>
        <v>478</v>
      </c>
      <c r="B479">
        <f t="shared" si="113"/>
        <v>157.89473684210526</v>
      </c>
      <c r="C479">
        <f t="shared" si="110"/>
        <v>478000</v>
      </c>
      <c r="E479" t="s">
        <v>11</v>
      </c>
      <c r="F479">
        <v>12.57068509</v>
      </c>
      <c r="G479">
        <v>43.429000000000002</v>
      </c>
      <c r="H479">
        <f t="shared" si="102"/>
        <v>0.28945370812130139</v>
      </c>
      <c r="I479">
        <v>711.36119550000001</v>
      </c>
      <c r="J479">
        <f t="shared" si="103"/>
        <v>2457.5991792162145</v>
      </c>
      <c r="K479" s="1">
        <v>1.37E-6</v>
      </c>
      <c r="L479" s="1">
        <f t="shared" si="104"/>
        <v>20976.440187440759</v>
      </c>
      <c r="M479" s="1">
        <f t="shared" si="105"/>
        <v>183753616.04198104</v>
      </c>
      <c r="N479">
        <f t="shared" si="106"/>
        <v>4.4843607119783988E+40</v>
      </c>
      <c r="O479">
        <v>7.4095194649999998</v>
      </c>
      <c r="P479" s="1">
        <f t="shared" si="107"/>
        <v>9.4065924253724134E+44</v>
      </c>
      <c r="Q479" s="1">
        <f t="shared" si="108"/>
        <v>1.2695279997314123E+44</v>
      </c>
    </row>
    <row r="480" spans="1:17" x14ac:dyDescent="0.2">
      <c r="A480">
        <f t="shared" si="109"/>
        <v>479</v>
      </c>
      <c r="B480">
        <f t="shared" si="113"/>
        <v>157.89473684210526</v>
      </c>
      <c r="C480">
        <f t="shared" si="110"/>
        <v>479000</v>
      </c>
      <c r="E480" t="s">
        <v>11</v>
      </c>
      <c r="F480">
        <v>12.458392330000001</v>
      </c>
      <c r="G480">
        <v>43.429000000000002</v>
      </c>
      <c r="H480">
        <f t="shared" si="102"/>
        <v>0.2868680450850814</v>
      </c>
      <c r="I480">
        <v>846.79158440000003</v>
      </c>
      <c r="J480">
        <f t="shared" si="103"/>
        <v>2951.850507256228</v>
      </c>
      <c r="K480" s="1">
        <v>1.4100000000000001E-6</v>
      </c>
      <c r="L480" s="1">
        <f t="shared" si="104"/>
        <v>20018.860584958264</v>
      </c>
      <c r="M480" s="1">
        <f t="shared" si="105"/>
        <v>175365218.7242344</v>
      </c>
      <c r="N480">
        <f t="shared" si="106"/>
        <v>6.5200710715063111E+48</v>
      </c>
      <c r="O480">
        <v>7.6566301699999997</v>
      </c>
      <c r="P480" s="1">
        <f t="shared" si="107"/>
        <v>1.3052439378450428E+53</v>
      </c>
      <c r="Q480" s="1">
        <f t="shared" si="108"/>
        <v>1.7047237607991231E+52</v>
      </c>
    </row>
    <row r="481" spans="1:17" x14ac:dyDescent="0.2">
      <c r="A481">
        <f t="shared" si="109"/>
        <v>480</v>
      </c>
      <c r="B481">
        <f t="shared" si="113"/>
        <v>157.89473684210526</v>
      </c>
      <c r="C481">
        <f t="shared" si="110"/>
        <v>480000</v>
      </c>
      <c r="E481" t="s">
        <v>11</v>
      </c>
      <c r="F481">
        <v>12.28709621</v>
      </c>
      <c r="G481">
        <v>43.429000000000002</v>
      </c>
      <c r="H481">
        <f t="shared" si="102"/>
        <v>0.28292376545626191</v>
      </c>
      <c r="I481">
        <v>1801.9833349999999</v>
      </c>
      <c r="J481">
        <f t="shared" si="103"/>
        <v>6369.1480003243996</v>
      </c>
      <c r="K481" s="1">
        <v>1.4699999999999999E-6</v>
      </c>
      <c r="L481" s="1">
        <f t="shared" si="104"/>
        <v>18677.366647321647</v>
      </c>
      <c r="M481" s="1">
        <f t="shared" si="105"/>
        <v>163613731.83053762</v>
      </c>
      <c r="N481">
        <f t="shared" si="106"/>
        <v>1.7817999762307514E+105</v>
      </c>
      <c r="O481">
        <v>8.0824209249999992</v>
      </c>
      <c r="P481" s="1">
        <f t="shared" si="107"/>
        <v>3.327933144825074E+109</v>
      </c>
      <c r="Q481" s="1">
        <f t="shared" si="108"/>
        <v>4.1174954579899885E+108</v>
      </c>
    </row>
    <row r="482" spans="1:17" x14ac:dyDescent="0.2">
      <c r="A482">
        <f t="shared" si="109"/>
        <v>481</v>
      </c>
      <c r="B482">
        <f t="shared" si="113"/>
        <v>157.89473684210526</v>
      </c>
      <c r="C482">
        <f t="shared" si="110"/>
        <v>481000</v>
      </c>
      <c r="E482" t="s">
        <v>11</v>
      </c>
      <c r="F482">
        <v>12.26251531</v>
      </c>
      <c r="G482">
        <v>43.429000000000002</v>
      </c>
      <c r="H482">
        <f t="shared" si="102"/>
        <v>0.28235776347601832</v>
      </c>
      <c r="I482">
        <v>753.90905290000001</v>
      </c>
      <c r="J482">
        <f t="shared" si="103"/>
        <v>2670.0489606478704</v>
      </c>
      <c r="K482" s="1">
        <v>1.4699999999999999E-6</v>
      </c>
      <c r="L482" s="1">
        <f t="shared" si="104"/>
        <v>18602.711538875126</v>
      </c>
      <c r="M482" s="1">
        <f t="shared" si="105"/>
        <v>162959753.08054611</v>
      </c>
      <c r="N482">
        <f t="shared" si="106"/>
        <v>1.4464547675656874E+44</v>
      </c>
      <c r="O482">
        <v>9.0328467149999998</v>
      </c>
      <c r="P482" s="1">
        <f t="shared" si="107"/>
        <v>2.6907980795055153E+48</v>
      </c>
      <c r="Q482" s="1">
        <f t="shared" si="108"/>
        <v>2.9789037325709951E+47</v>
      </c>
    </row>
    <row r="483" spans="1:17" x14ac:dyDescent="0.2">
      <c r="A483">
        <f t="shared" si="109"/>
        <v>482</v>
      </c>
      <c r="B483">
        <f t="shared" si="113"/>
        <v>157.89473684210526</v>
      </c>
      <c r="C483">
        <f t="shared" si="110"/>
        <v>482000</v>
      </c>
      <c r="E483" t="s">
        <v>11</v>
      </c>
      <c r="F483">
        <v>12.2077121</v>
      </c>
      <c r="G483">
        <v>43.429000000000002</v>
      </c>
      <c r="H483">
        <f t="shared" si="102"/>
        <v>0.28109585990927721</v>
      </c>
      <c r="I483">
        <v>397.92598170000002</v>
      </c>
      <c r="J483">
        <f t="shared" si="103"/>
        <v>1415.6237727173548</v>
      </c>
      <c r="K483" s="1">
        <v>1.4899999999999999E-6</v>
      </c>
      <c r="L483" s="1">
        <f t="shared" si="104"/>
        <v>18189.332002107822</v>
      </c>
      <c r="M483" s="1">
        <f t="shared" si="105"/>
        <v>159338548.33846453</v>
      </c>
      <c r="N483">
        <f t="shared" si="106"/>
        <v>2.7764857341037163E+23</v>
      </c>
      <c r="O483">
        <v>9.5004562040000007</v>
      </c>
      <c r="P483" s="1">
        <f t="shared" si="107"/>
        <v>5.0502420816728555E+27</v>
      </c>
      <c r="Q483" s="1">
        <f t="shared" si="108"/>
        <v>5.3157890244749929E+26</v>
      </c>
    </row>
    <row r="484" spans="1:17" x14ac:dyDescent="0.2">
      <c r="A484">
        <f t="shared" si="109"/>
        <v>483</v>
      </c>
      <c r="B484">
        <f t="shared" si="113"/>
        <v>157.89473684210526</v>
      </c>
      <c r="C484">
        <f t="shared" si="110"/>
        <v>483000</v>
      </c>
      <c r="E484" t="s">
        <v>11</v>
      </c>
      <c r="F484">
        <v>12.07815001</v>
      </c>
      <c r="G484">
        <v>43.429000000000002</v>
      </c>
      <c r="H484">
        <f t="shared" si="102"/>
        <v>0.27811255175113403</v>
      </c>
      <c r="I484">
        <v>315.41848870000001</v>
      </c>
      <c r="J484">
        <f t="shared" si="103"/>
        <v>1134.1397096749836</v>
      </c>
      <c r="K484" s="1">
        <v>1.5400000000000001E-6</v>
      </c>
      <c r="L484" s="1">
        <f t="shared" si="104"/>
        <v>17227.19536652197</v>
      </c>
      <c r="M484" s="1">
        <f t="shared" si="105"/>
        <v>150910231.41073245</v>
      </c>
      <c r="N484">
        <f t="shared" si="106"/>
        <v>6.2343504176355389E+18</v>
      </c>
      <c r="O484">
        <v>10.29881387</v>
      </c>
      <c r="P484" s="1">
        <f t="shared" si="107"/>
        <v>1.0740037262796526E+23</v>
      </c>
      <c r="Q484" s="1">
        <f t="shared" si="108"/>
        <v>1.0428421562294461E+22</v>
      </c>
    </row>
    <row r="485" spans="1:17" x14ac:dyDescent="0.2">
      <c r="A485">
        <f t="shared" si="109"/>
        <v>484</v>
      </c>
      <c r="B485">
        <f t="shared" si="113"/>
        <v>157.89473684210526</v>
      </c>
      <c r="C485">
        <f t="shared" si="110"/>
        <v>484000</v>
      </c>
      <c r="E485" t="s">
        <v>11</v>
      </c>
      <c r="F485">
        <v>12.02676864</v>
      </c>
      <c r="G485">
        <v>43.429000000000002</v>
      </c>
      <c r="H485">
        <f t="shared" si="102"/>
        <v>0.27692943977526535</v>
      </c>
      <c r="I485">
        <v>671.21458289999998</v>
      </c>
      <c r="J485">
        <f t="shared" si="103"/>
        <v>2423.7747472594683</v>
      </c>
      <c r="K485" s="1">
        <v>1.5600000000000001E-6</v>
      </c>
      <c r="L485" s="1">
        <f t="shared" si="104"/>
        <v>16861.949174798152</v>
      </c>
      <c r="M485" s="1">
        <f t="shared" si="105"/>
        <v>147710674.7712318</v>
      </c>
      <c r="N485">
        <f t="shared" si="106"/>
        <v>1.2390551974419069E+40</v>
      </c>
      <c r="O485">
        <v>10.78163017</v>
      </c>
      <c r="P485" s="1">
        <f t="shared" si="107"/>
        <v>2.0892885764034924E+44</v>
      </c>
      <c r="Q485" s="1">
        <f t="shared" si="108"/>
        <v>1.9378225216970992E+43</v>
      </c>
    </row>
    <row r="486" spans="1:17" x14ac:dyDescent="0.2">
      <c r="A486">
        <f t="shared" si="109"/>
        <v>485</v>
      </c>
      <c r="B486">
        <f t="shared" si="113"/>
        <v>157.89473684210526</v>
      </c>
      <c r="C486">
        <f t="shared" si="110"/>
        <v>485000</v>
      </c>
      <c r="E486" t="s">
        <v>11</v>
      </c>
      <c r="F486">
        <v>12.01129267</v>
      </c>
      <c r="G486">
        <v>43.429000000000002</v>
      </c>
      <c r="H486">
        <f t="shared" si="102"/>
        <v>0.27657308871951919</v>
      </c>
      <c r="I486">
        <v>799.00177810000002</v>
      </c>
      <c r="J486">
        <f t="shared" si="103"/>
        <v>2888.9353689443406</v>
      </c>
      <c r="K486" s="1">
        <v>1.5600000000000001E-6</v>
      </c>
      <c r="L486" s="1">
        <f t="shared" si="104"/>
        <v>16818.581395847614</v>
      </c>
      <c r="M486" s="1">
        <f t="shared" si="105"/>
        <v>147330773.02762508</v>
      </c>
      <c r="N486">
        <f t="shared" si="106"/>
        <v>5.9595017604808806E+47</v>
      </c>
      <c r="O486">
        <v>11.35568735</v>
      </c>
      <c r="P486" s="1">
        <f t="shared" si="107"/>
        <v>1.0023036543734484E+52</v>
      </c>
      <c r="Q486" s="1">
        <f t="shared" si="108"/>
        <v>8.8264463742342148E+50</v>
      </c>
    </row>
    <row r="487" spans="1:17" x14ac:dyDescent="0.2">
      <c r="A487">
        <f t="shared" si="109"/>
        <v>486</v>
      </c>
      <c r="B487">
        <f t="shared" si="113"/>
        <v>157.89473684210526</v>
      </c>
      <c r="C487">
        <f t="shared" si="110"/>
        <v>486000</v>
      </c>
      <c r="E487" t="s">
        <v>11</v>
      </c>
      <c r="F487">
        <v>11.96730816</v>
      </c>
      <c r="G487">
        <v>43.429000000000002</v>
      </c>
      <c r="H487">
        <f t="shared" si="102"/>
        <v>0.27556029749706418</v>
      </c>
      <c r="I487">
        <v>671.21458289999998</v>
      </c>
      <c r="J487">
        <f t="shared" si="103"/>
        <v>2435.8174562761574</v>
      </c>
      <c r="K487" s="1">
        <v>1.5799999999999999E-6</v>
      </c>
      <c r="L487" s="1">
        <f t="shared" si="104"/>
        <v>16484.292912618981</v>
      </c>
      <c r="M487" s="1">
        <f t="shared" si="105"/>
        <v>144402405.91454229</v>
      </c>
      <c r="N487">
        <f t="shared" si="106"/>
        <v>1.9587354187986745E+40</v>
      </c>
      <c r="O487">
        <v>11.713047449999999</v>
      </c>
      <c r="P487" s="1">
        <f t="shared" si="107"/>
        <v>3.2288368381798764E+44</v>
      </c>
      <c r="Q487" s="1">
        <f t="shared" si="108"/>
        <v>2.756615519541737E+43</v>
      </c>
    </row>
    <row r="488" spans="1:17" x14ac:dyDescent="0.2">
      <c r="A488">
        <f t="shared" si="109"/>
        <v>487</v>
      </c>
      <c r="B488">
        <f t="shared" si="113"/>
        <v>157.89473684210526</v>
      </c>
      <c r="C488">
        <f t="shared" si="110"/>
        <v>487000</v>
      </c>
      <c r="E488" t="s">
        <v>11</v>
      </c>
      <c r="F488">
        <v>11.893349949999999</v>
      </c>
      <c r="G488">
        <v>43.429000000000002</v>
      </c>
      <c r="H488">
        <f t="shared" si="102"/>
        <v>0.27385732920398809</v>
      </c>
      <c r="I488">
        <v>753.90905290000001</v>
      </c>
      <c r="J488">
        <f t="shared" si="103"/>
        <v>2752.9263324496815</v>
      </c>
      <c r="K488" s="1">
        <v>1.61E-6</v>
      </c>
      <c r="L488" s="1">
        <f t="shared" si="104"/>
        <v>15977.800005123192</v>
      </c>
      <c r="M488" s="1">
        <f t="shared" si="105"/>
        <v>139965528.04487917</v>
      </c>
      <c r="N488">
        <f t="shared" si="106"/>
        <v>3.3808286618606413E+45</v>
      </c>
      <c r="O488">
        <v>12.275699510000001</v>
      </c>
      <c r="P488" s="1">
        <f t="shared" si="107"/>
        <v>5.4018204210797584E+49</v>
      </c>
      <c r="Q488" s="1">
        <f t="shared" si="108"/>
        <v>4.4004176028252734E+48</v>
      </c>
    </row>
    <row r="489" spans="1:17" x14ac:dyDescent="0.2">
      <c r="A489">
        <f t="shared" si="109"/>
        <v>488</v>
      </c>
      <c r="B489">
        <f t="shared" si="113"/>
        <v>157.89473684210526</v>
      </c>
      <c r="C489">
        <f t="shared" si="110"/>
        <v>488000</v>
      </c>
      <c r="E489" t="s">
        <v>11</v>
      </c>
      <c r="F489">
        <v>11.80724083</v>
      </c>
      <c r="G489">
        <v>43.429000000000002</v>
      </c>
      <c r="H489">
        <f t="shared" si="102"/>
        <v>0.27187457298118767</v>
      </c>
      <c r="I489">
        <v>473.68393809999998</v>
      </c>
      <c r="J489">
        <f t="shared" si="103"/>
        <v>1742.2884858481286</v>
      </c>
      <c r="K489" s="1">
        <v>1.64E-6</v>
      </c>
      <c r="L489" s="1">
        <f t="shared" si="104"/>
        <v>15459.215681561087</v>
      </c>
      <c r="M489" s="1">
        <f t="shared" si="105"/>
        <v>135422729.37047511</v>
      </c>
      <c r="N489">
        <f t="shared" si="106"/>
        <v>6.8921910398021546E+28</v>
      </c>
      <c r="O489">
        <v>14.07770681</v>
      </c>
      <c r="P489" s="1">
        <f t="shared" si="107"/>
        <v>1.0654786780282429E+33</v>
      </c>
      <c r="Q489" s="1">
        <f t="shared" si="108"/>
        <v>7.5685528361152369E+31</v>
      </c>
    </row>
    <row r="490" spans="1:17" x14ac:dyDescent="0.2">
      <c r="A490">
        <f t="shared" si="109"/>
        <v>489</v>
      </c>
      <c r="B490">
        <f t="shared" si="113"/>
        <v>157.89473684210526</v>
      </c>
      <c r="C490">
        <f t="shared" si="110"/>
        <v>489000</v>
      </c>
      <c r="E490" t="s">
        <v>11</v>
      </c>
      <c r="F490">
        <v>11.721467580000001</v>
      </c>
      <c r="G490">
        <v>43.429000000000002</v>
      </c>
      <c r="H490">
        <f t="shared" si="102"/>
        <v>0.26989955053075132</v>
      </c>
      <c r="I490">
        <v>473.68393809999998</v>
      </c>
      <c r="J490">
        <f t="shared" si="103"/>
        <v>1755.0378915730364</v>
      </c>
      <c r="K490" s="1">
        <v>1.68E-6</v>
      </c>
      <c r="L490" s="1">
        <f t="shared" si="104"/>
        <v>14872.677506076574</v>
      </c>
      <c r="M490" s="1">
        <f t="shared" si="105"/>
        <v>130284654.95323078</v>
      </c>
      <c r="N490">
        <f t="shared" si="106"/>
        <v>1.119214976751081E+29</v>
      </c>
      <c r="O490">
        <v>14.41605839</v>
      </c>
      <c r="P490" s="1">
        <f t="shared" si="107"/>
        <v>1.6645723409189819E+33</v>
      </c>
      <c r="Q490" s="1">
        <f t="shared" si="108"/>
        <v>1.1546653709960326E+32</v>
      </c>
    </row>
    <row r="491" spans="1:17" x14ac:dyDescent="0.2">
      <c r="A491">
        <f t="shared" si="109"/>
        <v>490</v>
      </c>
      <c r="B491">
        <f t="shared" si="113"/>
        <v>157.89473684210526</v>
      </c>
      <c r="C491">
        <f t="shared" si="110"/>
        <v>490000</v>
      </c>
      <c r="E491" t="s">
        <v>11</v>
      </c>
      <c r="F491">
        <v>11.571158</v>
      </c>
      <c r="G491">
        <v>43.429000000000002</v>
      </c>
      <c r="H491">
        <f t="shared" si="102"/>
        <v>0.26643850883050496</v>
      </c>
      <c r="I491">
        <v>473.68393809999998</v>
      </c>
      <c r="J491">
        <f t="shared" si="103"/>
        <v>1777.8358698191571</v>
      </c>
      <c r="K491" s="1">
        <v>1.7400000000000001E-6</v>
      </c>
      <c r="L491" s="1">
        <f t="shared" si="104"/>
        <v>13993.90304185248</v>
      </c>
      <c r="M491" s="1">
        <f t="shared" si="105"/>
        <v>122586590.64662772</v>
      </c>
      <c r="N491">
        <f t="shared" si="106"/>
        <v>2.6633099623903812E+29</v>
      </c>
      <c r="O491">
        <v>15.27144161</v>
      </c>
      <c r="P491" s="1">
        <f t="shared" si="107"/>
        <v>3.727010138409077E+33</v>
      </c>
      <c r="Q491" s="1">
        <f t="shared" si="108"/>
        <v>2.4405097001245561E+32</v>
      </c>
    </row>
    <row r="492" spans="1:17" x14ac:dyDescent="0.2">
      <c r="A492">
        <f t="shared" si="109"/>
        <v>491</v>
      </c>
      <c r="B492">
        <f t="shared" si="113"/>
        <v>157.89473684210526</v>
      </c>
      <c r="C492">
        <f t="shared" si="110"/>
        <v>491000</v>
      </c>
      <c r="E492" t="s">
        <v>11</v>
      </c>
      <c r="F492">
        <v>11.34825092</v>
      </c>
      <c r="G492">
        <v>43.429000000000002</v>
      </c>
      <c r="H492">
        <f t="shared" si="102"/>
        <v>0.26130583066614471</v>
      </c>
      <c r="I492">
        <v>597.59067030000006</v>
      </c>
      <c r="J492">
        <f t="shared" si="103"/>
        <v>2286.9396705636736</v>
      </c>
      <c r="K492" s="1">
        <v>1.84E-6</v>
      </c>
      <c r="L492" s="1">
        <f t="shared" si="104"/>
        <v>12728.420021229618</v>
      </c>
      <c r="M492" s="1">
        <f t="shared" si="105"/>
        <v>111500959.38597146</v>
      </c>
      <c r="N492">
        <f t="shared" si="106"/>
        <v>6.8117989903258613E+37</v>
      </c>
      <c r="O492">
        <v>16.90237226</v>
      </c>
      <c r="P492" s="1">
        <f t="shared" si="107"/>
        <v>8.6703438649055393E+41</v>
      </c>
      <c r="Q492" s="1">
        <f t="shared" si="108"/>
        <v>5.1296609325213966E+40</v>
      </c>
    </row>
    <row r="493" spans="1:17" x14ac:dyDescent="0.2">
      <c r="A493">
        <f t="shared" si="109"/>
        <v>492</v>
      </c>
      <c r="B493">
        <f t="shared" si="113"/>
        <v>157.89473684210526</v>
      </c>
      <c r="C493">
        <f t="shared" si="110"/>
        <v>492000</v>
      </c>
      <c r="E493" t="s">
        <v>11</v>
      </c>
      <c r="F493">
        <v>11.268524899999999</v>
      </c>
      <c r="G493">
        <v>43.429000000000002</v>
      </c>
      <c r="H493">
        <f t="shared" si="102"/>
        <v>0.25947005226922099</v>
      </c>
      <c r="I493">
        <v>563.86484810000002</v>
      </c>
      <c r="J493">
        <f t="shared" si="103"/>
        <v>2173.1403804356773</v>
      </c>
      <c r="K493" s="1">
        <v>1.88E-6</v>
      </c>
      <c r="L493" s="1">
        <f t="shared" si="104"/>
        <v>12283.178112997421</v>
      </c>
      <c r="M493" s="1">
        <f t="shared" si="105"/>
        <v>107600640.26985741</v>
      </c>
      <c r="N493">
        <f t="shared" si="106"/>
        <v>8.9922546004129286E+35</v>
      </c>
      <c r="O493">
        <v>17.468826029999999</v>
      </c>
      <c r="P493" s="1">
        <f t="shared" si="107"/>
        <v>1.1045346489429244E+40</v>
      </c>
      <c r="Q493" s="1">
        <f t="shared" si="108"/>
        <v>6.3228899700876149E+38</v>
      </c>
    </row>
    <row r="494" spans="1:17" x14ac:dyDescent="0.2">
      <c r="A494">
        <f t="shared" si="109"/>
        <v>493</v>
      </c>
      <c r="B494">
        <f t="shared" si="113"/>
        <v>157.89473684210526</v>
      </c>
      <c r="C494">
        <f t="shared" si="110"/>
        <v>493000</v>
      </c>
      <c r="E494" t="s">
        <v>11</v>
      </c>
      <c r="F494">
        <v>11.161868630000001</v>
      </c>
      <c r="G494">
        <v>43.429000000000002</v>
      </c>
      <c r="H494">
        <f t="shared" si="102"/>
        <v>0.25701417555089917</v>
      </c>
      <c r="I494">
        <v>597.59067030000006</v>
      </c>
      <c r="J494">
        <f t="shared" si="103"/>
        <v>2325.1272775872744</v>
      </c>
      <c r="K494" s="1">
        <v>1.9300000000000002E-6</v>
      </c>
      <c r="L494" s="1">
        <f t="shared" si="104"/>
        <v>11739.536915491808</v>
      </c>
      <c r="M494" s="1">
        <f t="shared" si="105"/>
        <v>102838343.37970825</v>
      </c>
      <c r="N494">
        <f t="shared" si="106"/>
        <v>2.9102444309824336E+38</v>
      </c>
      <c r="O494">
        <v>17.795772509999999</v>
      </c>
      <c r="P494" s="1">
        <f t="shared" si="107"/>
        <v>3.416492193062273E+42</v>
      </c>
      <c r="Q494" s="1">
        <f t="shared" si="108"/>
        <v>1.9198335959523193E+41</v>
      </c>
    </row>
    <row r="495" spans="1:17" x14ac:dyDescent="0.2">
      <c r="A495">
        <f t="shared" si="109"/>
        <v>494</v>
      </c>
      <c r="B495">
        <f t="shared" si="113"/>
        <v>157.89473684210526</v>
      </c>
      <c r="C495">
        <f t="shared" si="110"/>
        <v>494000</v>
      </c>
      <c r="E495" t="s">
        <v>11</v>
      </c>
      <c r="F495">
        <v>10.89946473</v>
      </c>
      <c r="G495">
        <v>43.429000000000002</v>
      </c>
      <c r="H495">
        <f t="shared" si="102"/>
        <v>0.25097204011144625</v>
      </c>
      <c r="I495">
        <v>2706.1525969999998</v>
      </c>
      <c r="J495">
        <f t="shared" si="103"/>
        <v>10782.68557644234</v>
      </c>
      <c r="K495" s="1">
        <v>2.08E-6</v>
      </c>
      <c r="L495" s="1">
        <f t="shared" si="104"/>
        <v>10386.792772486333</v>
      </c>
      <c r="M495" s="1">
        <f t="shared" si="105"/>
        <v>90988304.686980277</v>
      </c>
      <c r="N495">
        <f t="shared" si="106"/>
        <v>1.3815054945816317E+178</v>
      </c>
      <c r="O495">
        <v>19.270833329999999</v>
      </c>
      <c r="P495" s="1">
        <f t="shared" si="107"/>
        <v>1.434941128627065E+182</v>
      </c>
      <c r="Q495" s="1">
        <f t="shared" si="108"/>
        <v>7.4461809930824879E+180</v>
      </c>
    </row>
    <row r="496" spans="1:17" x14ac:dyDescent="0.2">
      <c r="A496">
        <f t="shared" si="109"/>
        <v>495</v>
      </c>
      <c r="B496">
        <f t="shared" si="113"/>
        <v>157.89473684210526</v>
      </c>
      <c r="C496">
        <f t="shared" si="110"/>
        <v>495000</v>
      </c>
      <c r="E496" t="s">
        <v>11</v>
      </c>
      <c r="F496">
        <v>10.795702560000001</v>
      </c>
      <c r="G496">
        <v>43.429000000000002</v>
      </c>
      <c r="H496">
        <f t="shared" si="102"/>
        <v>0.24858280319602108</v>
      </c>
      <c r="I496">
        <v>1801.9833349999999</v>
      </c>
      <c r="J496">
        <f t="shared" si="103"/>
        <v>7249.0265289149465</v>
      </c>
      <c r="K496" s="1">
        <v>2.1399999999999998E-6</v>
      </c>
      <c r="L496" s="1">
        <f t="shared" si="104"/>
        <v>9904.2708623194267</v>
      </c>
      <c r="M496" s="1">
        <f t="shared" si="105"/>
        <v>86761412.753918171</v>
      </c>
      <c r="N496">
        <f t="shared" si="106"/>
        <v>6.0539247585149026E+119</v>
      </c>
      <c r="O496">
        <v>20.069191</v>
      </c>
      <c r="P496" s="1">
        <f t="shared" si="107"/>
        <v>5.9959710588433318E+123</v>
      </c>
      <c r="Q496" s="1">
        <f t="shared" si="108"/>
        <v>2.9876496062264451E+122</v>
      </c>
    </row>
    <row r="497" spans="1:17" x14ac:dyDescent="0.2">
      <c r="A497">
        <f t="shared" si="109"/>
        <v>496</v>
      </c>
      <c r="B497">
        <f t="shared" si="113"/>
        <v>157.89473684210526</v>
      </c>
      <c r="C497">
        <f t="shared" si="110"/>
        <v>496000</v>
      </c>
      <c r="E497" t="s">
        <v>11</v>
      </c>
      <c r="F497">
        <v>10.6595032</v>
      </c>
      <c r="G497">
        <v>43.429000000000002</v>
      </c>
      <c r="H497">
        <f t="shared" si="102"/>
        <v>0.24544666467107232</v>
      </c>
      <c r="I497">
        <v>2023.9899190000001</v>
      </c>
      <c r="J497">
        <f t="shared" si="103"/>
        <v>8246.1496134501849</v>
      </c>
      <c r="K497" s="1">
        <v>2.2199999999999999E-6</v>
      </c>
      <c r="L497" s="1">
        <f t="shared" si="104"/>
        <v>9307.9794427778197</v>
      </c>
      <c r="M497" s="1">
        <f t="shared" si="105"/>
        <v>81537899.918733701</v>
      </c>
      <c r="N497">
        <f t="shared" si="106"/>
        <v>1.7762611672984384E+136</v>
      </c>
      <c r="O497">
        <v>20.065389289999999</v>
      </c>
      <c r="P497" s="1">
        <f t="shared" si="107"/>
        <v>1.65334024302184E+140</v>
      </c>
      <c r="Q497" s="1">
        <f t="shared" si="108"/>
        <v>8.2397616070464991E+138</v>
      </c>
    </row>
    <row r="498" spans="1:17" x14ac:dyDescent="0.2">
      <c r="A498">
        <f t="shared" si="109"/>
        <v>497</v>
      </c>
      <c r="B498">
        <f t="shared" si="113"/>
        <v>157.89473684210526</v>
      </c>
      <c r="C498">
        <f t="shared" si="110"/>
        <v>497000</v>
      </c>
      <c r="E498" t="s">
        <v>11</v>
      </c>
      <c r="F498">
        <v>10.56346373</v>
      </c>
      <c r="G498">
        <v>43.429000000000002</v>
      </c>
      <c r="H498">
        <f t="shared" si="102"/>
        <v>0.24323525132975662</v>
      </c>
      <c r="I498">
        <v>597.59067030000006</v>
      </c>
      <c r="J498">
        <f t="shared" si="103"/>
        <v>2456.8423657056187</v>
      </c>
      <c r="K498" s="1">
        <v>2.2900000000000001E-6</v>
      </c>
      <c r="L498" s="1">
        <f t="shared" si="104"/>
        <v>8861.5903532232787</v>
      </c>
      <c r="M498" s="1">
        <f t="shared" si="105"/>
        <v>77627531.494235918</v>
      </c>
      <c r="N498">
        <f t="shared" si="106"/>
        <v>4.3571426380627475E+40</v>
      </c>
      <c r="O498">
        <v>18.90206813</v>
      </c>
      <c r="P498" s="1">
        <f t="shared" si="107"/>
        <v>3.8611213169074667E+44</v>
      </c>
      <c r="Q498" s="1">
        <f t="shared" si="108"/>
        <v>2.0426978097594375E+43</v>
      </c>
    </row>
    <row r="499" spans="1:17" x14ac:dyDescent="0.2">
      <c r="A499">
        <f t="shared" si="109"/>
        <v>498</v>
      </c>
      <c r="B499">
        <f t="shared" si="113"/>
        <v>157.89473684210526</v>
      </c>
      <c r="C499">
        <f t="shared" si="110"/>
        <v>498000</v>
      </c>
      <c r="E499" t="s">
        <v>11</v>
      </c>
      <c r="F499">
        <v>12.93073723</v>
      </c>
      <c r="G499">
        <v>43.429000000000002</v>
      </c>
      <c r="H499">
        <f t="shared" si="102"/>
        <v>0.29774430058256002</v>
      </c>
      <c r="I499">
        <v>1909.763363</v>
      </c>
      <c r="J499">
        <f t="shared" si="103"/>
        <v>6414.105523643605</v>
      </c>
      <c r="K499" s="1">
        <v>1.2699999999999999E-6</v>
      </c>
      <c r="L499" s="1">
        <f t="shared" si="104"/>
        <v>23942.930949278321</v>
      </c>
      <c r="M499" s="1">
        <f t="shared" si="105"/>
        <v>209740075.1156781</v>
      </c>
      <c r="N499">
        <f t="shared" si="106"/>
        <v>9.8476280705693428E+105</v>
      </c>
      <c r="O499">
        <v>7.553984185</v>
      </c>
      <c r="P499" s="1">
        <f t="shared" si="107"/>
        <v>2.3578107890781668E+110</v>
      </c>
      <c r="Q499" s="1">
        <f t="shared" si="108"/>
        <v>3.121281076759584E+109</v>
      </c>
    </row>
    <row r="500" spans="1:17" x14ac:dyDescent="0.2">
      <c r="A500">
        <f t="shared" si="109"/>
        <v>499</v>
      </c>
      <c r="B500">
        <f t="shared" si="113"/>
        <v>157.89473684210526</v>
      </c>
      <c r="C500">
        <f t="shared" si="110"/>
        <v>499000</v>
      </c>
      <c r="E500" t="s">
        <v>11</v>
      </c>
      <c r="F500">
        <v>12.42642545</v>
      </c>
      <c r="G500">
        <v>43.429000000000002</v>
      </c>
      <c r="H500">
        <f t="shared" si="102"/>
        <v>0.28613197287526765</v>
      </c>
      <c r="I500">
        <v>1801.9833349999999</v>
      </c>
      <c r="J500">
        <f t="shared" si="103"/>
        <v>6297.7349818418625</v>
      </c>
      <c r="K500" s="1">
        <v>1.42E-6</v>
      </c>
      <c r="L500" s="1">
        <f t="shared" si="104"/>
        <v>19776.004594515543</v>
      </c>
      <c r="M500" s="1">
        <f t="shared" si="105"/>
        <v>173237800.24795616</v>
      </c>
      <c r="N500">
        <f t="shared" si="106"/>
        <v>1.1788925775150271E+104</v>
      </c>
      <c r="O500">
        <v>9.3407846719999998</v>
      </c>
      <c r="P500" s="1">
        <f t="shared" si="107"/>
        <v>2.3313785029377448E+108</v>
      </c>
      <c r="Q500" s="1">
        <f t="shared" si="108"/>
        <v>2.4959129075379512E+107</v>
      </c>
    </row>
    <row r="501" spans="1:17" x14ac:dyDescent="0.2">
      <c r="A501">
        <f t="shared" si="109"/>
        <v>500</v>
      </c>
      <c r="B501">
        <f>3000/19</f>
        <v>157.89473684210526</v>
      </c>
      <c r="C501">
        <f t="shared" si="110"/>
        <v>500000</v>
      </c>
      <c r="E501" t="s">
        <v>11</v>
      </c>
      <c r="F501">
        <v>12.522420029999999</v>
      </c>
      <c r="G501">
        <v>43.429000000000002</v>
      </c>
      <c r="H501">
        <f t="shared" si="102"/>
        <v>0.28834235257546798</v>
      </c>
      <c r="I501">
        <v>532.04238750000002</v>
      </c>
      <c r="J501">
        <f t="shared" si="103"/>
        <v>1845.1759956447893</v>
      </c>
      <c r="K501" s="1">
        <v>1.39E-6</v>
      </c>
      <c r="L501" s="1">
        <f t="shared" si="104"/>
        <v>20516.165550390742</v>
      </c>
      <c r="M501" s="1">
        <f t="shared" si="105"/>
        <v>179721610.22142291</v>
      </c>
      <c r="N501">
        <f t="shared" si="106"/>
        <v>3.4478048809021083E+30</v>
      </c>
      <c r="O501">
        <v>8.7705291970000001</v>
      </c>
      <c r="P501" s="1">
        <f t="shared" si="107"/>
        <v>7.0735735722032889E+34</v>
      </c>
      <c r="Q501" s="1">
        <f t="shared" si="108"/>
        <v>8.0651616491087416E+33</v>
      </c>
    </row>
    <row r="502" spans="1:17" x14ac:dyDescent="0.2">
      <c r="A502">
        <f t="shared" si="109"/>
        <v>501</v>
      </c>
      <c r="B502">
        <f t="shared" ref="B502:B550" si="114">3000/19</f>
        <v>157.89473684210526</v>
      </c>
      <c r="C502">
        <f t="shared" si="110"/>
        <v>501000</v>
      </c>
      <c r="E502" t="s">
        <v>11</v>
      </c>
      <c r="F502">
        <v>12.46498721</v>
      </c>
      <c r="G502">
        <v>43.429000000000002</v>
      </c>
      <c r="H502">
        <f t="shared" si="102"/>
        <v>0.28701989937599298</v>
      </c>
      <c r="I502">
        <v>3039.5539570000001</v>
      </c>
      <c r="J502">
        <f t="shared" si="103"/>
        <v>10590.046068611491</v>
      </c>
      <c r="K502" s="1">
        <v>1.4100000000000001E-6</v>
      </c>
      <c r="L502" s="1">
        <f t="shared" si="104"/>
        <v>20040.060258700116</v>
      </c>
      <c r="M502" s="1">
        <f t="shared" si="105"/>
        <v>175550927.86621302</v>
      </c>
      <c r="N502">
        <f t="shared" si="106"/>
        <v>9.0973438598349917E+174</v>
      </c>
      <c r="O502">
        <v>7.5197688559999998</v>
      </c>
      <c r="P502" s="1">
        <f t="shared" si="107"/>
        <v>1.8231131914520872E+179</v>
      </c>
      <c r="Q502" s="1">
        <f t="shared" si="108"/>
        <v>2.4244271683928567E+178</v>
      </c>
    </row>
    <row r="503" spans="1:17" x14ac:dyDescent="0.2">
      <c r="A503">
        <f t="shared" si="109"/>
        <v>502</v>
      </c>
      <c r="B503">
        <f t="shared" si="114"/>
        <v>157.89473684210526</v>
      </c>
      <c r="C503">
        <f t="shared" si="110"/>
        <v>502000</v>
      </c>
      <c r="E503" t="s">
        <v>11</v>
      </c>
      <c r="F503">
        <v>12.29782221</v>
      </c>
      <c r="G503">
        <v>43.429000000000002</v>
      </c>
      <c r="H503">
        <f t="shared" si="102"/>
        <v>0.28317074328213865</v>
      </c>
      <c r="I503">
        <v>633.33369760000005</v>
      </c>
      <c r="J503">
        <f t="shared" si="103"/>
        <v>2236.5788578976703</v>
      </c>
      <c r="K503" s="1">
        <v>1.46E-6</v>
      </c>
      <c r="L503" s="1">
        <f t="shared" si="104"/>
        <v>18838.140245807463</v>
      </c>
      <c r="M503" s="1">
        <f t="shared" si="105"/>
        <v>165022108.55327338</v>
      </c>
      <c r="N503">
        <f t="shared" si="106"/>
        <v>1.003584415723797E+37</v>
      </c>
      <c r="O503">
        <v>6.508515815</v>
      </c>
      <c r="P503" s="1">
        <f t="shared" si="107"/>
        <v>1.890566397191163E+41</v>
      </c>
      <c r="Q503" s="1">
        <f t="shared" si="108"/>
        <v>2.9047580906756436E+40</v>
      </c>
    </row>
    <row r="504" spans="1:17" x14ac:dyDescent="0.2">
      <c r="A504">
        <f t="shared" si="109"/>
        <v>503</v>
      </c>
      <c r="B504">
        <f t="shared" si="114"/>
        <v>157.89473684210526</v>
      </c>
      <c r="C504">
        <f t="shared" si="110"/>
        <v>503000</v>
      </c>
      <c r="E504" t="s">
        <v>11</v>
      </c>
      <c r="F504">
        <v>12.354242279999999</v>
      </c>
      <c r="G504">
        <v>43.429000000000002</v>
      </c>
      <c r="H504">
        <f t="shared" si="102"/>
        <v>0.28446987681042618</v>
      </c>
      <c r="I504">
        <v>597.59067030000006</v>
      </c>
      <c r="J504">
        <f t="shared" si="103"/>
        <v>2100.7168737878033</v>
      </c>
      <c r="K504" s="1">
        <v>1.44E-6</v>
      </c>
      <c r="L504" s="1">
        <f t="shared" si="104"/>
        <v>19275.435422708953</v>
      </c>
      <c r="M504" s="1">
        <f t="shared" si="105"/>
        <v>168852814.30293044</v>
      </c>
      <c r="N504">
        <f t="shared" si="106"/>
        <v>5.7252662140916785E+34</v>
      </c>
      <c r="O504">
        <v>6.2842153280000002</v>
      </c>
      <c r="P504" s="1">
        <f t="shared" si="107"/>
        <v>1.1035699918754152E+39</v>
      </c>
      <c r="Q504" s="1">
        <f t="shared" si="108"/>
        <v>1.7560983102509868E+38</v>
      </c>
    </row>
    <row r="505" spans="1:17" x14ac:dyDescent="0.2">
      <c r="A505">
        <f t="shared" si="109"/>
        <v>504</v>
      </c>
      <c r="B505">
        <f t="shared" si="114"/>
        <v>157.89473684210526</v>
      </c>
      <c r="C505">
        <f t="shared" si="110"/>
        <v>504000</v>
      </c>
      <c r="E505" t="s">
        <v>11</v>
      </c>
      <c r="F505">
        <v>12.48291598</v>
      </c>
      <c r="G505">
        <v>43.429000000000002</v>
      </c>
      <c r="H505">
        <f t="shared" si="102"/>
        <v>0.28743272882175502</v>
      </c>
      <c r="I505">
        <v>2023.9899190000001</v>
      </c>
      <c r="J505">
        <f t="shared" si="103"/>
        <v>7041.6125793911669</v>
      </c>
      <c r="K505" s="1">
        <v>1.3999999999999999E-6</v>
      </c>
      <c r="L505" s="1">
        <f t="shared" si="104"/>
        <v>20241.30553149054</v>
      </c>
      <c r="M505" s="1">
        <f t="shared" si="105"/>
        <v>177313836.45585713</v>
      </c>
      <c r="N505">
        <f t="shared" si="106"/>
        <v>2.2729996774942924E+116</v>
      </c>
      <c r="O505">
        <v>6.9419099759999998</v>
      </c>
      <c r="P505" s="1">
        <f t="shared" si="107"/>
        <v>4.600848094514143E+120</v>
      </c>
      <c r="Q505" s="1">
        <f t="shared" si="108"/>
        <v>6.6276401025373124E+119</v>
      </c>
    </row>
    <row r="506" spans="1:17" x14ac:dyDescent="0.2">
      <c r="A506">
        <f t="shared" si="109"/>
        <v>505</v>
      </c>
      <c r="B506">
        <f t="shared" si="114"/>
        <v>157.89473684210526</v>
      </c>
      <c r="C506">
        <f t="shared" si="110"/>
        <v>505000</v>
      </c>
      <c r="E506" t="s">
        <v>11</v>
      </c>
      <c r="F506">
        <v>12.47482168</v>
      </c>
      <c r="G506">
        <v>43.429000000000002</v>
      </c>
      <c r="H506">
        <f t="shared" si="102"/>
        <v>0.28724634875313726</v>
      </c>
      <c r="I506">
        <v>711.36119550000001</v>
      </c>
      <c r="J506">
        <f t="shared" si="103"/>
        <v>2476.4847267435653</v>
      </c>
      <c r="K506" s="1">
        <v>1.3999999999999999E-6</v>
      </c>
      <c r="L506" s="1">
        <f t="shared" si="104"/>
        <v>20215.063893642196</v>
      </c>
      <c r="M506" s="1">
        <f t="shared" si="105"/>
        <v>177083959.70830563</v>
      </c>
      <c r="N506">
        <f t="shared" si="106"/>
        <v>9.1959164468722075E+40</v>
      </c>
      <c r="O506">
        <v>7.1510036499999998</v>
      </c>
      <c r="P506" s="1">
        <f t="shared" si="107"/>
        <v>1.858960385341168E+45</v>
      </c>
      <c r="Q506" s="1">
        <f t="shared" si="108"/>
        <v>2.5995796902455335E+44</v>
      </c>
    </row>
    <row r="507" spans="1:17" x14ac:dyDescent="0.2">
      <c r="A507">
        <f t="shared" si="109"/>
        <v>506</v>
      </c>
      <c r="B507">
        <f t="shared" si="114"/>
        <v>157.89473684210526</v>
      </c>
      <c r="C507">
        <f t="shared" si="110"/>
        <v>506000</v>
      </c>
      <c r="E507" t="s">
        <v>11</v>
      </c>
      <c r="F507">
        <v>12.40108807</v>
      </c>
      <c r="G507">
        <v>43.429000000000002</v>
      </c>
      <c r="H507">
        <f t="shared" si="102"/>
        <v>0.28554855211955144</v>
      </c>
      <c r="I507">
        <v>1008.005486</v>
      </c>
      <c r="J507">
        <f t="shared" si="103"/>
        <v>3530.066878356909</v>
      </c>
      <c r="K507" s="1">
        <v>1.4300000000000001E-6</v>
      </c>
      <c r="L507" s="1">
        <f t="shared" si="104"/>
        <v>19557.710235543538</v>
      </c>
      <c r="M507" s="1">
        <f t="shared" si="105"/>
        <v>171325541.6633614</v>
      </c>
      <c r="N507">
        <f t="shared" si="106"/>
        <v>2.3093262705840347E+58</v>
      </c>
      <c r="O507">
        <v>7.4399330900000002</v>
      </c>
      <c r="P507" s="1">
        <f t="shared" si="107"/>
        <v>4.5165134039410958E+62</v>
      </c>
      <c r="Q507" s="1">
        <f t="shared" si="108"/>
        <v>6.0706371271157433E+61</v>
      </c>
    </row>
    <row r="508" spans="1:17" x14ac:dyDescent="0.2">
      <c r="A508">
        <f t="shared" si="109"/>
        <v>507</v>
      </c>
      <c r="B508">
        <f t="shared" si="114"/>
        <v>157.89473684210526</v>
      </c>
      <c r="C508">
        <f t="shared" si="110"/>
        <v>507000</v>
      </c>
      <c r="E508" t="s">
        <v>11</v>
      </c>
      <c r="F508">
        <v>12.36068414</v>
      </c>
      <c r="G508">
        <v>43.429000000000002</v>
      </c>
      <c r="H508">
        <f t="shared" si="102"/>
        <v>0.2846182076492666</v>
      </c>
      <c r="I508">
        <v>4307.0764639999998</v>
      </c>
      <c r="J508">
        <f t="shared" si="103"/>
        <v>15132.821261061365</v>
      </c>
      <c r="K508" s="1">
        <v>1.44E-6</v>
      </c>
      <c r="L508" s="1">
        <f t="shared" si="104"/>
        <v>19295.542204888887</v>
      </c>
      <c r="M508" s="1">
        <f t="shared" si="105"/>
        <v>169028949.71482664</v>
      </c>
      <c r="N508">
        <f t="shared" si="106"/>
        <v>9.6109249696308879E+249</v>
      </c>
      <c r="O508">
        <v>7.7668795619999997</v>
      </c>
      <c r="P508" s="1">
        <f t="shared" si="107"/>
        <v>1.8544800837953325E+254</v>
      </c>
      <c r="Q508" s="1">
        <f t="shared" si="108"/>
        <v>2.3876771475490693E+253</v>
      </c>
    </row>
    <row r="509" spans="1:17" x14ac:dyDescent="0.2">
      <c r="A509">
        <f t="shared" si="109"/>
        <v>508</v>
      </c>
      <c r="B509">
        <f t="shared" si="114"/>
        <v>157.89473684210526</v>
      </c>
      <c r="C509">
        <f t="shared" si="110"/>
        <v>508000</v>
      </c>
      <c r="E509" t="s">
        <v>11</v>
      </c>
      <c r="F509">
        <v>12.24968681</v>
      </c>
      <c r="G509">
        <v>43.429000000000002</v>
      </c>
      <c r="H509">
        <f t="shared" si="102"/>
        <v>0.28206237329894768</v>
      </c>
      <c r="I509">
        <v>1801.9833349999999</v>
      </c>
      <c r="J509">
        <f t="shared" si="103"/>
        <v>6388.5987837524972</v>
      </c>
      <c r="K509" s="1">
        <v>1.48E-6</v>
      </c>
      <c r="L509" s="1">
        <f t="shared" si="104"/>
        <v>18438.378090435792</v>
      </c>
      <c r="M509" s="1">
        <f t="shared" si="105"/>
        <v>161520192.07221752</v>
      </c>
      <c r="N509">
        <f t="shared" si="106"/>
        <v>3.7332604307429639E+105</v>
      </c>
      <c r="O509">
        <v>8.0063868609999993</v>
      </c>
      <c r="P509" s="1">
        <f t="shared" si="107"/>
        <v>6.8835267332101955E+109</v>
      </c>
      <c r="Q509" s="1">
        <f t="shared" si="108"/>
        <v>8.5975445013038524E+108</v>
      </c>
    </row>
    <row r="510" spans="1:17" x14ac:dyDescent="0.2">
      <c r="A510">
        <f t="shared" si="109"/>
        <v>509</v>
      </c>
      <c r="B510">
        <f t="shared" si="114"/>
        <v>157.89473684210526</v>
      </c>
      <c r="C510">
        <f t="shared" si="110"/>
        <v>509000</v>
      </c>
      <c r="E510" t="s">
        <v>11</v>
      </c>
      <c r="F510">
        <v>12.05206963</v>
      </c>
      <c r="G510">
        <v>43.429000000000002</v>
      </c>
      <c r="H510">
        <f t="shared" si="102"/>
        <v>0.27751202261161895</v>
      </c>
      <c r="I510">
        <v>799.00177810000002</v>
      </c>
      <c r="J510">
        <f t="shared" si="103"/>
        <v>2879.1609479860681</v>
      </c>
      <c r="K510" s="1">
        <v>1.55E-6</v>
      </c>
      <c r="L510" s="1">
        <f t="shared" si="104"/>
        <v>17042.214505831715</v>
      </c>
      <c r="M510" s="1">
        <f t="shared" si="105"/>
        <v>149289799.07108581</v>
      </c>
      <c r="N510">
        <f t="shared" si="106"/>
        <v>4.1094676511708981E+47</v>
      </c>
      <c r="O510">
        <v>8.3447384430000007</v>
      </c>
      <c r="P510" s="1">
        <f t="shared" si="107"/>
        <v>7.0034429216030859E+51</v>
      </c>
      <c r="Q510" s="1">
        <f t="shared" si="108"/>
        <v>8.3926452212267208E+50</v>
      </c>
    </row>
    <row r="511" spans="1:17" x14ac:dyDescent="0.2">
      <c r="A511">
        <f t="shared" si="109"/>
        <v>510</v>
      </c>
      <c r="B511">
        <f t="shared" si="114"/>
        <v>157.89473684210526</v>
      </c>
      <c r="C511">
        <f t="shared" si="110"/>
        <v>510000</v>
      </c>
      <c r="E511" t="s">
        <v>11</v>
      </c>
      <c r="F511">
        <v>11.937670799999999</v>
      </c>
      <c r="G511">
        <v>43.429000000000002</v>
      </c>
      <c r="H511">
        <f t="shared" si="102"/>
        <v>0.27487786502106887</v>
      </c>
      <c r="I511">
        <v>633.33369760000005</v>
      </c>
      <c r="J511">
        <f t="shared" si="103"/>
        <v>2304.0549210881577</v>
      </c>
      <c r="K511" s="1">
        <v>1.59E-6</v>
      </c>
      <c r="L511" s="1">
        <f t="shared" si="104"/>
        <v>16299.584498578335</v>
      </c>
      <c r="M511" s="1">
        <f t="shared" si="105"/>
        <v>142784360.2075462</v>
      </c>
      <c r="N511">
        <f t="shared" si="106"/>
        <v>1.3059299389616148E+38</v>
      </c>
      <c r="O511">
        <v>8.3751520680000002</v>
      </c>
      <c r="P511" s="1">
        <f t="shared" si="107"/>
        <v>2.1286115389328087E+42</v>
      </c>
      <c r="Q511" s="1">
        <f t="shared" si="108"/>
        <v>2.5415795697201286E+41</v>
      </c>
    </row>
    <row r="512" spans="1:17" x14ac:dyDescent="0.2">
      <c r="A512">
        <f t="shared" si="109"/>
        <v>511</v>
      </c>
      <c r="B512">
        <f t="shared" si="114"/>
        <v>157.89473684210526</v>
      </c>
      <c r="C512">
        <f t="shared" si="110"/>
        <v>511000</v>
      </c>
      <c r="E512" t="s">
        <v>11</v>
      </c>
      <c r="F512">
        <v>11.77452991</v>
      </c>
      <c r="G512">
        <v>43.429000000000002</v>
      </c>
      <c r="H512">
        <f t="shared" si="102"/>
        <v>0.27112136844044299</v>
      </c>
      <c r="I512">
        <v>532.04238750000002</v>
      </c>
      <c r="J512">
        <f t="shared" si="103"/>
        <v>1962.3771839174431</v>
      </c>
      <c r="K512" s="1">
        <v>1.6500000000000001E-6</v>
      </c>
      <c r="L512" s="1">
        <f t="shared" si="104"/>
        <v>15280.50374168565</v>
      </c>
      <c r="M512" s="1">
        <f t="shared" si="105"/>
        <v>133857212.77716629</v>
      </c>
      <c r="N512">
        <f t="shared" si="106"/>
        <v>2.9724748992388159E+32</v>
      </c>
      <c r="O512">
        <v>8.85796837</v>
      </c>
      <c r="P512" s="1">
        <f t="shared" si="107"/>
        <v>4.5420913819885404E+36</v>
      </c>
      <c r="Q512" s="1">
        <f t="shared" si="108"/>
        <v>5.1276897729411742E+35</v>
      </c>
    </row>
    <row r="513" spans="1:17" x14ac:dyDescent="0.2">
      <c r="A513">
        <f t="shared" si="109"/>
        <v>512</v>
      </c>
      <c r="B513">
        <f t="shared" si="114"/>
        <v>157.89473684210526</v>
      </c>
      <c r="C513">
        <f t="shared" si="110"/>
        <v>512000</v>
      </c>
      <c r="E513" t="s">
        <v>11</v>
      </c>
      <c r="F513">
        <v>11.70086757</v>
      </c>
      <c r="G513">
        <v>43.429000000000002</v>
      </c>
      <c r="H513">
        <f t="shared" si="102"/>
        <v>0.2694252128761887</v>
      </c>
      <c r="I513">
        <v>397.92598170000002</v>
      </c>
      <c r="J513">
        <f t="shared" si="103"/>
        <v>1476.9441116962664</v>
      </c>
      <c r="K513" s="1">
        <v>1.68E-6</v>
      </c>
      <c r="L513" s="1">
        <f t="shared" si="104"/>
        <v>14820.44717223167</v>
      </c>
      <c r="M513" s="1">
        <f t="shared" si="105"/>
        <v>129827117.22874942</v>
      </c>
      <c r="N513">
        <f t="shared" si="106"/>
        <v>2.8589051132611012E+24</v>
      </c>
      <c r="O513">
        <v>9.1240875910000003</v>
      </c>
      <c r="P513" s="1">
        <f t="shared" si="107"/>
        <v>4.2370252201509149E+28</v>
      </c>
      <c r="Q513" s="1">
        <f t="shared" si="108"/>
        <v>4.6437796414079982E+27</v>
      </c>
    </row>
    <row r="514" spans="1:17" x14ac:dyDescent="0.2">
      <c r="A514">
        <f t="shared" si="109"/>
        <v>513</v>
      </c>
      <c r="B514">
        <f t="shared" si="114"/>
        <v>157.89473684210526</v>
      </c>
      <c r="C514">
        <f t="shared" si="110"/>
        <v>513000</v>
      </c>
      <c r="E514" t="s">
        <v>11</v>
      </c>
      <c r="F514">
        <v>11.697136220000001</v>
      </c>
      <c r="G514">
        <v>43.429000000000002</v>
      </c>
      <c r="H514">
        <f t="shared" si="102"/>
        <v>0.26933929448064658</v>
      </c>
      <c r="I514">
        <v>753.90905290000001</v>
      </c>
      <c r="J514">
        <f t="shared" si="103"/>
        <v>2799.1053230971179</v>
      </c>
      <c r="K514" s="1">
        <v>1.6899999999999999E-6</v>
      </c>
      <c r="L514" s="1">
        <f t="shared" si="104"/>
        <v>14723.357310122508</v>
      </c>
      <c r="M514" s="1">
        <f t="shared" si="105"/>
        <v>128976610.03667317</v>
      </c>
      <c r="N514">
        <f t="shared" si="106"/>
        <v>1.9573494192468332E+46</v>
      </c>
      <c r="O514">
        <v>9.473844282</v>
      </c>
      <c r="P514" s="1">
        <f t="shared" si="107"/>
        <v>2.8818754880331909E+50</v>
      </c>
      <c r="Q514" s="1">
        <f t="shared" si="108"/>
        <v>3.0419282840743559E+49</v>
      </c>
    </row>
    <row r="515" spans="1:17" x14ac:dyDescent="0.2">
      <c r="A515">
        <f t="shared" si="109"/>
        <v>514</v>
      </c>
      <c r="B515">
        <f t="shared" si="114"/>
        <v>157.89473684210526</v>
      </c>
      <c r="C515">
        <f t="shared" si="110"/>
        <v>514000</v>
      </c>
      <c r="E515" t="s">
        <v>11</v>
      </c>
      <c r="F515">
        <v>11.67314792</v>
      </c>
      <c r="G515">
        <v>43.429000000000002</v>
      </c>
      <c r="H515">
        <f t="shared" ref="H515:H578" si="115">F515/43.429</f>
        <v>0.26878693776048262</v>
      </c>
      <c r="I515">
        <v>799.00177810000002</v>
      </c>
      <c r="J515">
        <f t="shared" ref="J515:J578" si="116">I515/H515</f>
        <v>2972.6213065159977</v>
      </c>
      <c r="K515" s="1">
        <v>1.7E-6</v>
      </c>
      <c r="L515" s="1">
        <f t="shared" ref="L515:L578" si="117">((H515^2)*0.343)/(K515)</f>
        <v>14576.777260797378</v>
      </c>
      <c r="M515" s="1">
        <f t="shared" ref="M515:M578" si="118">L515*8760</f>
        <v>127692568.80458504</v>
      </c>
      <c r="N515">
        <f t="shared" ref="N515:N578" si="119">EXP((J515+3.9052)/(26.297))</f>
        <v>1.4364208680478675E+49</v>
      </c>
      <c r="O515">
        <v>10.03269465</v>
      </c>
      <c r="P515" s="1">
        <f t="shared" ref="P515:P578" si="120">L515*N515</f>
        <v>2.0938387046294987E+53</v>
      </c>
      <c r="Q515" s="1">
        <f t="shared" ref="Q515:Q578" si="121">P515/O515</f>
        <v>2.0870152812131072E+52</v>
      </c>
    </row>
    <row r="516" spans="1:17" x14ac:dyDescent="0.2">
      <c r="A516">
        <f t="shared" ref="A516:A579" si="122">A515+1</f>
        <v>515</v>
      </c>
      <c r="B516">
        <f t="shared" si="114"/>
        <v>157.89473684210526</v>
      </c>
      <c r="C516">
        <f t="shared" ref="C516:C579" si="123">C515+1000</f>
        <v>515000</v>
      </c>
      <c r="E516" t="s">
        <v>11</v>
      </c>
      <c r="F516">
        <v>11.666167420000001</v>
      </c>
      <c r="G516">
        <v>43.429000000000002</v>
      </c>
      <c r="H516">
        <f t="shared" si="115"/>
        <v>0.26862620414930116</v>
      </c>
      <c r="I516">
        <v>711.36119550000001</v>
      </c>
      <c r="J516">
        <f t="shared" si="116"/>
        <v>2648.1452088889619</v>
      </c>
      <c r="K516" s="1">
        <v>1.7E-6</v>
      </c>
      <c r="L516" s="1">
        <f t="shared" si="117"/>
        <v>14559.348753877692</v>
      </c>
      <c r="M516" s="1">
        <f t="shared" si="118"/>
        <v>127539895.08396858</v>
      </c>
      <c r="N516">
        <f t="shared" si="119"/>
        <v>6.2887566710730602E+43</v>
      </c>
      <c r="O516">
        <v>10.65997567</v>
      </c>
      <c r="P516" s="1">
        <f t="shared" si="120"/>
        <v>9.1560201602427572E+47</v>
      </c>
      <c r="Q516" s="1">
        <f t="shared" si="121"/>
        <v>8.5891567145037938E+46</v>
      </c>
    </row>
    <row r="517" spans="1:17" x14ac:dyDescent="0.2">
      <c r="A517">
        <f t="shared" si="122"/>
        <v>516</v>
      </c>
      <c r="B517">
        <f t="shared" si="114"/>
        <v>157.89473684210526</v>
      </c>
      <c r="C517">
        <f t="shared" si="123"/>
        <v>516000</v>
      </c>
      <c r="E517" t="s">
        <v>11</v>
      </c>
      <c r="F517">
        <v>11.6610613</v>
      </c>
      <c r="G517">
        <v>43.429000000000002</v>
      </c>
      <c r="H517">
        <f t="shared" si="115"/>
        <v>0.26850863017799165</v>
      </c>
      <c r="I517">
        <v>1132.1930130000001</v>
      </c>
      <c r="J517">
        <f t="shared" si="116"/>
        <v>4216.598223489058</v>
      </c>
      <c r="K517" s="1">
        <v>1.7E-6</v>
      </c>
      <c r="L517" s="1">
        <f t="shared" si="117"/>
        <v>14546.606692153584</v>
      </c>
      <c r="M517" s="1">
        <f t="shared" si="118"/>
        <v>127428274.6232654</v>
      </c>
      <c r="N517">
        <f t="shared" si="119"/>
        <v>5.029653997332368E+69</v>
      </c>
      <c r="O517">
        <v>12.89157543</v>
      </c>
      <c r="P517" s="1">
        <f t="shared" si="120"/>
        <v>7.3164398496812045E+73</v>
      </c>
      <c r="Q517" s="1">
        <f t="shared" si="121"/>
        <v>5.6753651944316358E+72</v>
      </c>
    </row>
    <row r="518" spans="1:17" x14ac:dyDescent="0.2">
      <c r="A518">
        <f t="shared" si="122"/>
        <v>517</v>
      </c>
      <c r="B518">
        <f t="shared" si="114"/>
        <v>157.89473684210526</v>
      </c>
      <c r="C518">
        <f t="shared" si="123"/>
        <v>517000</v>
      </c>
      <c r="E518" t="s">
        <v>11</v>
      </c>
      <c r="F518">
        <v>11.590152959999999</v>
      </c>
      <c r="G518">
        <v>43.429000000000002</v>
      </c>
      <c r="H518">
        <f t="shared" si="115"/>
        <v>0.26687588846162702</v>
      </c>
      <c r="I518">
        <v>315.41848870000001</v>
      </c>
      <c r="J518">
        <f t="shared" si="116"/>
        <v>1181.8920417209317</v>
      </c>
      <c r="K518" s="1">
        <v>1.73E-6</v>
      </c>
      <c r="L518" s="1">
        <f t="shared" si="117"/>
        <v>14121.040327091734</v>
      </c>
      <c r="M518" s="1">
        <f t="shared" si="118"/>
        <v>123700313.26532359</v>
      </c>
      <c r="N518">
        <f t="shared" si="119"/>
        <v>3.831952472512036E+19</v>
      </c>
      <c r="O518">
        <v>13.55687348</v>
      </c>
      <c r="P518" s="1">
        <f t="shared" si="120"/>
        <v>5.4111155395841341E+23</v>
      </c>
      <c r="Q518" s="1">
        <f t="shared" si="121"/>
        <v>3.9914184841858787E+22</v>
      </c>
    </row>
    <row r="519" spans="1:17" x14ac:dyDescent="0.2">
      <c r="A519">
        <f t="shared" si="122"/>
        <v>518</v>
      </c>
      <c r="B519">
        <f t="shared" si="114"/>
        <v>157.89473684210526</v>
      </c>
      <c r="C519">
        <f t="shared" si="123"/>
        <v>518000</v>
      </c>
      <c r="E519" t="s">
        <v>11</v>
      </c>
      <c r="F519">
        <v>11.42428073</v>
      </c>
      <c r="G519">
        <v>43.429000000000002</v>
      </c>
      <c r="H519">
        <f t="shared" si="115"/>
        <v>0.2630564998042782</v>
      </c>
      <c r="I519">
        <v>633.33369760000005</v>
      </c>
      <c r="J519">
        <f t="shared" si="116"/>
        <v>2407.5956992935703</v>
      </c>
      <c r="K519" s="1">
        <v>1.81E-6</v>
      </c>
      <c r="L519" s="1">
        <f t="shared" si="117"/>
        <v>13113.348992609077</v>
      </c>
      <c r="M519" s="1">
        <f t="shared" si="118"/>
        <v>114872937.17525551</v>
      </c>
      <c r="N519">
        <f t="shared" si="119"/>
        <v>6.697210780892934E+39</v>
      </c>
      <c r="O519">
        <v>13.648114359999999</v>
      </c>
      <c r="P519" s="1">
        <f t="shared" si="120"/>
        <v>8.7822862246913005E+43</v>
      </c>
      <c r="Q519" s="1">
        <f t="shared" si="121"/>
        <v>6.43479823881788E+42</v>
      </c>
    </row>
    <row r="520" spans="1:17" x14ac:dyDescent="0.2">
      <c r="A520">
        <f t="shared" si="122"/>
        <v>519</v>
      </c>
      <c r="B520">
        <f t="shared" si="114"/>
        <v>157.89473684210526</v>
      </c>
      <c r="C520">
        <f t="shared" si="123"/>
        <v>519000</v>
      </c>
      <c r="E520" t="s">
        <v>11</v>
      </c>
      <c r="F520">
        <v>11.370140660000001</v>
      </c>
      <c r="G520">
        <v>43.429000000000002</v>
      </c>
      <c r="H520">
        <f t="shared" si="115"/>
        <v>0.26180986575790371</v>
      </c>
      <c r="I520">
        <v>563.86484810000002</v>
      </c>
      <c r="J520">
        <f t="shared" si="116"/>
        <v>2153.7188694844958</v>
      </c>
      <c r="K520" s="1">
        <v>1.8300000000000001E-6</v>
      </c>
      <c r="L520" s="1">
        <f t="shared" si="117"/>
        <v>12847.394094099916</v>
      </c>
      <c r="M520" s="1">
        <f t="shared" si="118"/>
        <v>112543172.26431526</v>
      </c>
      <c r="N520">
        <f t="shared" si="119"/>
        <v>4.2965779048229617E+35</v>
      </c>
      <c r="O520">
        <v>14.29440389</v>
      </c>
      <c r="P520" s="1">
        <f t="shared" si="120"/>
        <v>5.5199829599262714E+39</v>
      </c>
      <c r="Q520" s="1">
        <f t="shared" si="121"/>
        <v>3.8616391438246059E+38</v>
      </c>
    </row>
    <row r="521" spans="1:17" x14ac:dyDescent="0.2">
      <c r="A521">
        <f t="shared" si="122"/>
        <v>520</v>
      </c>
      <c r="B521">
        <f t="shared" si="114"/>
        <v>157.89473684210526</v>
      </c>
      <c r="C521">
        <f t="shared" si="123"/>
        <v>520000</v>
      </c>
      <c r="E521" t="s">
        <v>11</v>
      </c>
      <c r="F521">
        <v>11.204314269999999</v>
      </c>
      <c r="G521">
        <v>43.429000000000002</v>
      </c>
      <c r="H521">
        <f t="shared" si="115"/>
        <v>0.25799153261645441</v>
      </c>
      <c r="I521">
        <v>711.36119550000001</v>
      </c>
      <c r="J521">
        <f t="shared" si="116"/>
        <v>2757.3044288920596</v>
      </c>
      <c r="K521" s="1">
        <v>1.9099999999999999E-6</v>
      </c>
      <c r="L521" s="1">
        <f t="shared" si="117"/>
        <v>11952.855182886367</v>
      </c>
      <c r="M521" s="1">
        <f t="shared" si="118"/>
        <v>104707011.40208457</v>
      </c>
      <c r="N521">
        <f t="shared" si="119"/>
        <v>3.9932577716181617E+45</v>
      </c>
      <c r="O521">
        <v>16.183850360000001</v>
      </c>
      <c r="P521" s="1">
        <f t="shared" si="120"/>
        <v>4.7730831852087415E+49</v>
      </c>
      <c r="Q521" s="1">
        <f t="shared" si="121"/>
        <v>2.9492877646755138E+48</v>
      </c>
    </row>
    <row r="522" spans="1:17" x14ac:dyDescent="0.2">
      <c r="A522">
        <f t="shared" si="122"/>
        <v>521</v>
      </c>
      <c r="B522">
        <f t="shared" si="114"/>
        <v>157.89473684210526</v>
      </c>
      <c r="C522">
        <f t="shared" si="123"/>
        <v>521000</v>
      </c>
      <c r="E522" t="s">
        <v>11</v>
      </c>
      <c r="F522">
        <v>11.11156954</v>
      </c>
      <c r="G522">
        <v>43.429000000000002</v>
      </c>
      <c r="H522">
        <f t="shared" si="115"/>
        <v>0.25585598425015543</v>
      </c>
      <c r="I522">
        <v>951.11735910000004</v>
      </c>
      <c r="J522">
        <f t="shared" si="116"/>
        <v>3717.3934465025991</v>
      </c>
      <c r="K522" s="1">
        <v>1.9599999999999999E-6</v>
      </c>
      <c r="L522" s="1">
        <f t="shared" si="117"/>
        <v>11455.899818407765</v>
      </c>
      <c r="M522" s="1">
        <f t="shared" si="118"/>
        <v>100353682.40925202</v>
      </c>
      <c r="N522">
        <f t="shared" si="119"/>
        <v>2.8653666305797141E+61</v>
      </c>
      <c r="O522">
        <v>16.727493920000001</v>
      </c>
      <c r="P522" s="1">
        <f t="shared" si="120"/>
        <v>3.2825353062929816E+65</v>
      </c>
      <c r="Q522" s="1">
        <f t="shared" si="121"/>
        <v>1.9623592882423726E+64</v>
      </c>
    </row>
    <row r="523" spans="1:17" x14ac:dyDescent="0.2">
      <c r="A523">
        <f t="shared" si="122"/>
        <v>522</v>
      </c>
      <c r="B523">
        <f t="shared" si="114"/>
        <v>157.89473684210526</v>
      </c>
      <c r="C523">
        <f t="shared" si="123"/>
        <v>522000</v>
      </c>
      <c r="E523" t="s">
        <v>11</v>
      </c>
      <c r="F523">
        <v>10.99587051</v>
      </c>
      <c r="G523">
        <v>43.429000000000002</v>
      </c>
      <c r="H523">
        <f t="shared" si="115"/>
        <v>0.25319188813926174</v>
      </c>
      <c r="I523">
        <v>799.00177810000002</v>
      </c>
      <c r="J523">
        <f t="shared" si="116"/>
        <v>3155.716338196939</v>
      </c>
      <c r="K523" s="1">
        <v>2.0200000000000001E-6</v>
      </c>
      <c r="L523" s="1">
        <f t="shared" si="117"/>
        <v>10885.348193711328</v>
      </c>
      <c r="M523" s="1">
        <f t="shared" si="118"/>
        <v>95355650.176911235</v>
      </c>
      <c r="N523">
        <f t="shared" si="119"/>
        <v>1.5173747751831409E+52</v>
      </c>
      <c r="O523">
        <v>17.40799878</v>
      </c>
      <c r="P523" s="1">
        <f t="shared" si="120"/>
        <v>1.6517152768222934E+56</v>
      </c>
      <c r="Q523" s="1">
        <f t="shared" si="121"/>
        <v>9.4882547827378316E+54</v>
      </c>
    </row>
    <row r="524" spans="1:17" x14ac:dyDescent="0.2">
      <c r="A524">
        <f t="shared" si="122"/>
        <v>523</v>
      </c>
      <c r="B524">
        <f t="shared" si="114"/>
        <v>157.89473684210526</v>
      </c>
      <c r="C524">
        <f t="shared" si="123"/>
        <v>523000</v>
      </c>
      <c r="E524" t="s">
        <v>11</v>
      </c>
      <c r="F524">
        <v>10.675468110000001</v>
      </c>
      <c r="G524">
        <v>43.429000000000002</v>
      </c>
      <c r="H524">
        <f t="shared" si="115"/>
        <v>0.24581427410255821</v>
      </c>
      <c r="I524">
        <v>2553.4272850000002</v>
      </c>
      <c r="J524">
        <f t="shared" si="116"/>
        <v>10387.628197436019</v>
      </c>
      <c r="K524" s="1">
        <v>2.21E-6</v>
      </c>
      <c r="L524" s="1">
        <f t="shared" si="117"/>
        <v>9378.1255529098162</v>
      </c>
      <c r="M524" s="1">
        <f t="shared" si="118"/>
        <v>82152379.84348999</v>
      </c>
      <c r="N524">
        <f t="shared" si="119"/>
        <v>4.1303524236051224E+171</v>
      </c>
      <c r="O524">
        <v>19.137773719999998</v>
      </c>
      <c r="P524" s="1">
        <f t="shared" si="120"/>
        <v>3.8734963606334185E+175</v>
      </c>
      <c r="Q524" s="1">
        <f t="shared" si="121"/>
        <v>2.0240057267399954E+174</v>
      </c>
    </row>
    <row r="525" spans="1:17" x14ac:dyDescent="0.2">
      <c r="A525">
        <f t="shared" si="122"/>
        <v>524</v>
      </c>
      <c r="B525">
        <f t="shared" si="114"/>
        <v>157.89473684210526</v>
      </c>
      <c r="C525">
        <f t="shared" si="123"/>
        <v>524000</v>
      </c>
      <c r="E525" t="s">
        <v>11</v>
      </c>
      <c r="F525">
        <v>10.56867804</v>
      </c>
      <c r="G525">
        <v>43.429000000000002</v>
      </c>
      <c r="H525">
        <f t="shared" si="115"/>
        <v>0.24335531649358721</v>
      </c>
      <c r="I525">
        <v>502.01586959999997</v>
      </c>
      <c r="J525">
        <f t="shared" si="116"/>
        <v>2062.8925508320622</v>
      </c>
      <c r="K525" s="1">
        <v>2.2800000000000002E-6</v>
      </c>
      <c r="L525" s="1">
        <f t="shared" si="117"/>
        <v>8909.245987953087</v>
      </c>
      <c r="M525" s="1">
        <f t="shared" si="118"/>
        <v>78044994.854469046</v>
      </c>
      <c r="N525">
        <f t="shared" si="119"/>
        <v>1.3587128170508802E+34</v>
      </c>
      <c r="O525">
        <v>20.057785890000002</v>
      </c>
      <c r="P525" s="1">
        <f t="shared" si="120"/>
        <v>1.210510671409099E+38</v>
      </c>
      <c r="Q525" s="1">
        <f t="shared" si="121"/>
        <v>6.0351161292065171E+36</v>
      </c>
    </row>
    <row r="526" spans="1:17" x14ac:dyDescent="0.2">
      <c r="A526">
        <f t="shared" si="122"/>
        <v>525</v>
      </c>
      <c r="B526">
        <f t="shared" si="114"/>
        <v>157.89473684210526</v>
      </c>
      <c r="C526">
        <f t="shared" si="123"/>
        <v>525000</v>
      </c>
      <c r="E526" t="s">
        <v>11</v>
      </c>
      <c r="F526">
        <v>10.48183959</v>
      </c>
      <c r="G526">
        <v>43.429000000000002</v>
      </c>
      <c r="H526">
        <f t="shared" si="115"/>
        <v>0.24135576665361855</v>
      </c>
      <c r="I526">
        <v>563.86484810000002</v>
      </c>
      <c r="J526">
        <f t="shared" si="116"/>
        <v>2336.2393860231646</v>
      </c>
      <c r="K526" s="1">
        <v>2.34E-6</v>
      </c>
      <c r="L526" s="1">
        <f t="shared" si="117"/>
        <v>8538.7367056649127</v>
      </c>
      <c r="M526" s="1">
        <f t="shared" si="118"/>
        <v>74799333.541624635</v>
      </c>
      <c r="N526">
        <f t="shared" si="119"/>
        <v>4.4406417499090396E+38</v>
      </c>
      <c r="O526">
        <v>20.612834549999999</v>
      </c>
      <c r="P526" s="1">
        <f t="shared" si="120"/>
        <v>3.7917470706656387E+42</v>
      </c>
      <c r="Q526" s="1">
        <f t="shared" si="121"/>
        <v>1.8395078374437538E+41</v>
      </c>
    </row>
    <row r="527" spans="1:17" x14ac:dyDescent="0.2">
      <c r="A527">
        <f t="shared" si="122"/>
        <v>526</v>
      </c>
      <c r="B527">
        <f t="shared" si="114"/>
        <v>157.89473684210526</v>
      </c>
      <c r="C527">
        <f t="shared" si="123"/>
        <v>526000</v>
      </c>
      <c r="E527" t="s">
        <v>11</v>
      </c>
      <c r="F527">
        <v>10.322465019999999</v>
      </c>
      <c r="G527">
        <v>43.429000000000002</v>
      </c>
      <c r="H527">
        <f t="shared" si="115"/>
        <v>0.23768599369085169</v>
      </c>
      <c r="I527">
        <v>502.01586959999997</v>
      </c>
      <c r="J527">
        <f t="shared" si="116"/>
        <v>2112.0969805774553</v>
      </c>
      <c r="K527" s="1">
        <v>2.4600000000000002E-6</v>
      </c>
      <c r="L527" s="1">
        <f t="shared" si="117"/>
        <v>7877.097007197156</v>
      </c>
      <c r="M527" s="1">
        <f t="shared" si="118"/>
        <v>69003369.78304708</v>
      </c>
      <c r="N527">
        <f t="shared" si="119"/>
        <v>8.8254720574432701E+34</v>
      </c>
      <c r="O527">
        <v>21.099452549999999</v>
      </c>
      <c r="P527" s="1">
        <f t="shared" si="120"/>
        <v>6.9519099530788509E+38</v>
      </c>
      <c r="Q527" s="1">
        <f t="shared" si="121"/>
        <v>3.2948295395838841E+37</v>
      </c>
    </row>
    <row r="528" spans="1:17" x14ac:dyDescent="0.2">
      <c r="A528">
        <f t="shared" si="122"/>
        <v>527</v>
      </c>
      <c r="B528">
        <f t="shared" si="114"/>
        <v>157.89473684210526</v>
      </c>
      <c r="C528">
        <f t="shared" si="123"/>
        <v>527000</v>
      </c>
      <c r="E528" t="s">
        <v>11</v>
      </c>
      <c r="F528">
        <v>10.13790283</v>
      </c>
      <c r="G528">
        <v>43.429000000000002</v>
      </c>
      <c r="H528">
        <f t="shared" si="115"/>
        <v>0.23343624835939117</v>
      </c>
      <c r="I528">
        <v>532.04238750000002</v>
      </c>
      <c r="J528">
        <f t="shared" si="116"/>
        <v>2279.1763971501296</v>
      </c>
      <c r="K528" s="1">
        <v>2.61E-6</v>
      </c>
      <c r="L528" s="1">
        <f t="shared" si="117"/>
        <v>7161.2725450194721</v>
      </c>
      <c r="M528" s="1">
        <f t="shared" si="118"/>
        <v>62732747.494370572</v>
      </c>
      <c r="N528">
        <f t="shared" si="119"/>
        <v>5.0705083601142632E+37</v>
      </c>
      <c r="O528">
        <v>21.665906329999999</v>
      </c>
      <c r="P528" s="1">
        <f t="shared" si="120"/>
        <v>3.6311292308577978E+41</v>
      </c>
      <c r="Q528" s="1">
        <f t="shared" si="121"/>
        <v>1.675964612581152E+40</v>
      </c>
    </row>
    <row r="529" spans="1:17" x14ac:dyDescent="0.2">
      <c r="A529">
        <f t="shared" si="122"/>
        <v>528</v>
      </c>
      <c r="B529">
        <f t="shared" si="114"/>
        <v>157.89473684210526</v>
      </c>
      <c r="C529">
        <f t="shared" si="123"/>
        <v>528000</v>
      </c>
      <c r="E529" t="s">
        <v>11</v>
      </c>
      <c r="F529">
        <v>9.9395020600000006</v>
      </c>
      <c r="G529">
        <v>43.429000000000002</v>
      </c>
      <c r="H529">
        <f t="shared" si="115"/>
        <v>0.22886785465932902</v>
      </c>
      <c r="I529">
        <v>354.27843819999998</v>
      </c>
      <c r="J529">
        <f t="shared" si="116"/>
        <v>1547.9606724471869</v>
      </c>
      <c r="K529" s="1">
        <v>2.79E-6</v>
      </c>
      <c r="L529" s="1">
        <f t="shared" si="117"/>
        <v>6439.6092291945406</v>
      </c>
      <c r="M529" s="1">
        <f t="shared" si="118"/>
        <v>56410976.847744174</v>
      </c>
      <c r="N529">
        <f t="shared" si="119"/>
        <v>4.2563463910592403E+25</v>
      </c>
      <c r="O529">
        <v>22.871046230000001</v>
      </c>
      <c r="P529" s="1">
        <f t="shared" si="120"/>
        <v>2.740920750251396E+29</v>
      </c>
      <c r="Q529" s="1">
        <f t="shared" si="121"/>
        <v>1.1984238598827737E+28</v>
      </c>
    </row>
    <row r="530" spans="1:17" x14ac:dyDescent="0.2">
      <c r="A530">
        <f t="shared" si="122"/>
        <v>529</v>
      </c>
      <c r="B530">
        <f t="shared" si="114"/>
        <v>157.89473684210526</v>
      </c>
      <c r="C530">
        <f t="shared" si="123"/>
        <v>529000</v>
      </c>
      <c r="E530" t="s">
        <v>11</v>
      </c>
      <c r="F530">
        <v>16.73637725</v>
      </c>
      <c r="G530">
        <v>43.429000000000002</v>
      </c>
      <c r="H530">
        <f t="shared" si="115"/>
        <v>0.38537330470422987</v>
      </c>
      <c r="I530">
        <v>799.00177810000002</v>
      </c>
      <c r="J530">
        <f t="shared" si="116"/>
        <v>2073.3189568312882</v>
      </c>
      <c r="K530" s="1">
        <v>6.1500000000000004E-7</v>
      </c>
      <c r="L530" s="1">
        <f t="shared" si="117"/>
        <v>82828.96960110587</v>
      </c>
      <c r="M530" s="1">
        <f t="shared" si="118"/>
        <v>725581773.7056874</v>
      </c>
      <c r="N530">
        <f t="shared" si="119"/>
        <v>2.0198521443509729E+34</v>
      </c>
      <c r="O530">
        <v>2.8056569339999999</v>
      </c>
      <c r="P530" s="1">
        <f t="shared" si="120"/>
        <v>1.6730227186317523E+39</v>
      </c>
      <c r="Q530" s="1">
        <f t="shared" si="121"/>
        <v>5.9630338205553118E+38</v>
      </c>
    </row>
    <row r="531" spans="1:17" x14ac:dyDescent="0.2">
      <c r="A531">
        <f t="shared" si="122"/>
        <v>530</v>
      </c>
      <c r="B531">
        <f t="shared" si="114"/>
        <v>157.89473684210526</v>
      </c>
      <c r="C531">
        <f t="shared" si="123"/>
        <v>530000</v>
      </c>
      <c r="E531" t="s">
        <v>11</v>
      </c>
      <c r="F531">
        <v>16.78721419</v>
      </c>
      <c r="G531">
        <v>43.429000000000002</v>
      </c>
      <c r="H531">
        <f t="shared" si="115"/>
        <v>0.38654388058670475</v>
      </c>
      <c r="I531">
        <v>1132.1930130000001</v>
      </c>
      <c r="J531">
        <f t="shared" si="116"/>
        <v>2929.0154879221805</v>
      </c>
      <c r="K531" s="1">
        <v>6.0900000000000001E-7</v>
      </c>
      <c r="L531" s="1">
        <f t="shared" si="117"/>
        <v>84153.935739452922</v>
      </c>
      <c r="M531" s="1">
        <f t="shared" si="118"/>
        <v>737188477.07760763</v>
      </c>
      <c r="N531">
        <f t="shared" si="119"/>
        <v>2.736102710099737E+48</v>
      </c>
      <c r="O531">
        <v>2.8512773720000002</v>
      </c>
      <c r="P531" s="1">
        <f t="shared" si="120"/>
        <v>2.3025381164227626E+53</v>
      </c>
      <c r="Q531" s="1">
        <f t="shared" si="121"/>
        <v>8.0754616826621466E+52</v>
      </c>
    </row>
    <row r="532" spans="1:17" x14ac:dyDescent="0.2">
      <c r="A532">
        <f t="shared" si="122"/>
        <v>531</v>
      </c>
      <c r="B532">
        <f t="shared" si="114"/>
        <v>157.89473684210526</v>
      </c>
      <c r="C532">
        <f t="shared" si="123"/>
        <v>531000</v>
      </c>
      <c r="E532" t="s">
        <v>11</v>
      </c>
      <c r="F532">
        <v>16.472416150000001</v>
      </c>
      <c r="G532">
        <v>43.429000000000002</v>
      </c>
      <c r="H532">
        <f t="shared" si="115"/>
        <v>0.37929531303967395</v>
      </c>
      <c r="I532">
        <v>951.11735910000004</v>
      </c>
      <c r="J532">
        <f t="shared" si="116"/>
        <v>2507.5905934026505</v>
      </c>
      <c r="K532" s="1">
        <v>6.44E-7</v>
      </c>
      <c r="L532" s="1">
        <f t="shared" si="117"/>
        <v>76623.715110862482</v>
      </c>
      <c r="M532" s="1">
        <f t="shared" si="118"/>
        <v>671223744.37115538</v>
      </c>
      <c r="N532">
        <f t="shared" si="119"/>
        <v>3.0012891964031828E+41</v>
      </c>
      <c r="O532">
        <v>3.9841849150000002</v>
      </c>
      <c r="P532" s="1">
        <f t="shared" si="120"/>
        <v>2.2996992835050688E+46</v>
      </c>
      <c r="Q532" s="1">
        <f t="shared" si="121"/>
        <v>5.7720696518049763E+45</v>
      </c>
    </row>
    <row r="533" spans="1:17" x14ac:dyDescent="0.2">
      <c r="A533">
        <f t="shared" si="122"/>
        <v>532</v>
      </c>
      <c r="B533">
        <f t="shared" si="114"/>
        <v>157.89473684210526</v>
      </c>
      <c r="C533">
        <f t="shared" si="123"/>
        <v>532000</v>
      </c>
      <c r="E533" t="s">
        <v>11</v>
      </c>
      <c r="F533">
        <v>15.81755184</v>
      </c>
      <c r="G533">
        <v>43.429000000000002</v>
      </c>
      <c r="H533">
        <f t="shared" si="115"/>
        <v>0.36421634944391995</v>
      </c>
      <c r="I533">
        <v>446.95095679999997</v>
      </c>
      <c r="J533">
        <f t="shared" si="116"/>
        <v>1227.1578623046385</v>
      </c>
      <c r="K533" s="1">
        <v>7.2399999999999997E-7</v>
      </c>
      <c r="L533" s="1">
        <f t="shared" si="117"/>
        <v>62845.535050239887</v>
      </c>
      <c r="M533" s="1">
        <f t="shared" si="118"/>
        <v>550526887.04010141</v>
      </c>
      <c r="N533">
        <f t="shared" si="119"/>
        <v>2.1428132664930773E+20</v>
      </c>
      <c r="O533">
        <v>4.9194038930000001</v>
      </c>
      <c r="P533" s="1">
        <f t="shared" si="120"/>
        <v>1.3466624624550971E+25</v>
      </c>
      <c r="Q533" s="1">
        <f t="shared" si="121"/>
        <v>2.7374504955190048E+24</v>
      </c>
    </row>
    <row r="534" spans="1:17" x14ac:dyDescent="0.2">
      <c r="A534">
        <f t="shared" si="122"/>
        <v>533</v>
      </c>
      <c r="B534">
        <f t="shared" si="114"/>
        <v>157.89473684210526</v>
      </c>
      <c r="C534">
        <f t="shared" si="123"/>
        <v>533000</v>
      </c>
      <c r="E534" t="s">
        <v>11</v>
      </c>
      <c r="F534">
        <v>12.41976157</v>
      </c>
      <c r="G534">
        <v>43.429000000000002</v>
      </c>
      <c r="H534">
        <f t="shared" si="115"/>
        <v>0.28597852978424554</v>
      </c>
      <c r="I534">
        <v>2145.048581</v>
      </c>
      <c r="J534">
        <f t="shared" si="116"/>
        <v>7500.7329487927527</v>
      </c>
      <c r="K534" s="1">
        <v>1.42E-6</v>
      </c>
      <c r="L534" s="1">
        <f t="shared" si="117"/>
        <v>19754.799850466625</v>
      </c>
      <c r="M534" s="1">
        <f t="shared" si="118"/>
        <v>173052046.69008765</v>
      </c>
      <c r="N534">
        <f t="shared" si="119"/>
        <v>8.6888843140427798E+123</v>
      </c>
      <c r="O534">
        <v>10.40526156</v>
      </c>
      <c r="P534" s="1">
        <f t="shared" si="120"/>
        <v>1.716471705477741E+128</v>
      </c>
      <c r="Q534" s="1">
        <f t="shared" si="121"/>
        <v>1.6496189889893945E+127</v>
      </c>
    </row>
    <row r="535" spans="1:17" x14ac:dyDescent="0.2">
      <c r="A535">
        <f t="shared" si="122"/>
        <v>534</v>
      </c>
      <c r="B535">
        <f t="shared" si="114"/>
        <v>157.89473684210526</v>
      </c>
      <c r="C535">
        <f t="shared" si="123"/>
        <v>534000</v>
      </c>
      <c r="E535" t="s">
        <v>11</v>
      </c>
      <c r="F535">
        <v>12.57973408</v>
      </c>
      <c r="G535">
        <v>43.429000000000002</v>
      </c>
      <c r="H535">
        <f t="shared" si="115"/>
        <v>0.28966207096640489</v>
      </c>
      <c r="I535">
        <v>502.01586959999997</v>
      </c>
      <c r="J535">
        <f t="shared" si="116"/>
        <v>1733.1087495339489</v>
      </c>
      <c r="K535" s="1">
        <v>1.37E-6</v>
      </c>
      <c r="L535" s="1">
        <f t="shared" si="117"/>
        <v>21006.650779047795</v>
      </c>
      <c r="M535" s="1">
        <f t="shared" si="118"/>
        <v>184018260.82445869</v>
      </c>
      <c r="N535">
        <f t="shared" si="119"/>
        <v>4.8613190708607553E+28</v>
      </c>
      <c r="O535">
        <v>8.9606143550000006</v>
      </c>
      <c r="P535" s="1">
        <f t="shared" si="120"/>
        <v>1.0212003204709699E+33</v>
      </c>
      <c r="Q535" s="1">
        <f t="shared" si="121"/>
        <v>1.1396543585219049E+32</v>
      </c>
    </row>
    <row r="536" spans="1:17" x14ac:dyDescent="0.2">
      <c r="A536">
        <f t="shared" si="122"/>
        <v>535</v>
      </c>
      <c r="B536">
        <f t="shared" si="114"/>
        <v>157.89473684210526</v>
      </c>
      <c r="C536">
        <f t="shared" si="123"/>
        <v>535000</v>
      </c>
      <c r="E536" t="s">
        <v>11</v>
      </c>
      <c r="F536">
        <v>12.40845234</v>
      </c>
      <c r="G536">
        <v>43.429000000000002</v>
      </c>
      <c r="H536">
        <f t="shared" si="115"/>
        <v>0.28571812245273892</v>
      </c>
      <c r="I536">
        <v>3039.5539570000001</v>
      </c>
      <c r="J536">
        <f t="shared" si="116"/>
        <v>10638.295992242414</v>
      </c>
      <c r="K536" s="1">
        <v>1.4300000000000001E-6</v>
      </c>
      <c r="L536" s="1">
        <f t="shared" si="117"/>
        <v>19580.945458591596</v>
      </c>
      <c r="M536" s="1">
        <f t="shared" si="118"/>
        <v>171529082.21726239</v>
      </c>
      <c r="N536">
        <f t="shared" si="119"/>
        <v>5.6985089030844651E+175</v>
      </c>
      <c r="O536">
        <v>7.3600973239999998</v>
      </c>
      <c r="P536" s="1">
        <f t="shared" si="120"/>
        <v>1.1158219202659553E+180</v>
      </c>
      <c r="Q536" s="1">
        <f t="shared" si="121"/>
        <v>1.5160423444775024E+179</v>
      </c>
    </row>
    <row r="537" spans="1:17" x14ac:dyDescent="0.2">
      <c r="A537">
        <f t="shared" si="122"/>
        <v>536</v>
      </c>
      <c r="B537">
        <f t="shared" si="114"/>
        <v>157.89473684210526</v>
      </c>
      <c r="C537">
        <f t="shared" si="123"/>
        <v>536000</v>
      </c>
      <c r="E537" t="s">
        <v>11</v>
      </c>
      <c r="F537">
        <v>12.303172180000001</v>
      </c>
      <c r="G537">
        <v>43.429000000000002</v>
      </c>
      <c r="H537">
        <f t="shared" si="115"/>
        <v>0.28329393216514309</v>
      </c>
      <c r="I537">
        <v>2706.1525969999998</v>
      </c>
      <c r="J537">
        <f t="shared" si="116"/>
        <v>9552.455205508877</v>
      </c>
      <c r="K537" s="1">
        <v>1.46E-6</v>
      </c>
      <c r="L537" s="1">
        <f t="shared" si="117"/>
        <v>18854.53427160611</v>
      </c>
      <c r="M537" s="1">
        <f t="shared" si="118"/>
        <v>165165720.21926951</v>
      </c>
      <c r="N537">
        <f t="shared" si="119"/>
        <v>6.6545726855681567E+157</v>
      </c>
      <c r="O537">
        <v>6.4438868610000002</v>
      </c>
      <c r="P537" s="1">
        <f t="shared" si="120"/>
        <v>1.2546886876293872E+162</v>
      </c>
      <c r="Q537" s="1">
        <f t="shared" si="121"/>
        <v>1.9470991882602314E+161</v>
      </c>
    </row>
    <row r="538" spans="1:17" x14ac:dyDescent="0.2">
      <c r="A538">
        <f t="shared" si="122"/>
        <v>537</v>
      </c>
      <c r="B538">
        <f t="shared" si="114"/>
        <v>157.89473684210526</v>
      </c>
      <c r="C538">
        <f t="shared" si="123"/>
        <v>537000</v>
      </c>
      <c r="E538" t="s">
        <v>11</v>
      </c>
      <c r="F538">
        <v>12.284471590000001</v>
      </c>
      <c r="G538">
        <v>43.429000000000002</v>
      </c>
      <c r="H538">
        <f t="shared" si="115"/>
        <v>0.28286333072370995</v>
      </c>
      <c r="I538">
        <v>633.33369760000005</v>
      </c>
      <c r="J538">
        <f t="shared" si="116"/>
        <v>2239.0095456332447</v>
      </c>
      <c r="K538" s="1">
        <v>1.4699999999999999E-6</v>
      </c>
      <c r="L538" s="1">
        <f t="shared" si="117"/>
        <v>18669.388235892548</v>
      </c>
      <c r="M538" s="1">
        <f t="shared" si="118"/>
        <v>163543840.9464187</v>
      </c>
      <c r="N538">
        <f t="shared" si="119"/>
        <v>1.100770223004911E+37</v>
      </c>
      <c r="O538">
        <v>6.4895072989999996</v>
      </c>
      <c r="P538" s="1">
        <f t="shared" si="120"/>
        <v>2.0550706651788703E+41</v>
      </c>
      <c r="Q538" s="1">
        <f t="shared" si="121"/>
        <v>3.1667591551912522E+40</v>
      </c>
    </row>
    <row r="539" spans="1:17" x14ac:dyDescent="0.2">
      <c r="A539">
        <f t="shared" si="122"/>
        <v>538</v>
      </c>
      <c r="B539">
        <f t="shared" si="114"/>
        <v>157.89473684210526</v>
      </c>
      <c r="C539">
        <f t="shared" si="123"/>
        <v>538000</v>
      </c>
      <c r="E539" t="s">
        <v>11</v>
      </c>
      <c r="F539">
        <v>12.229286399999999</v>
      </c>
      <c r="G539">
        <v>43.429000000000002</v>
      </c>
      <c r="H539">
        <f t="shared" si="115"/>
        <v>0.28159263165166132</v>
      </c>
      <c r="I539">
        <v>1008.005486</v>
      </c>
      <c r="J539">
        <f t="shared" si="116"/>
        <v>3579.6586014613249</v>
      </c>
      <c r="K539" s="1">
        <v>1.4899999999999999E-6</v>
      </c>
      <c r="L539" s="1">
        <f t="shared" si="117"/>
        <v>18253.67966360693</v>
      </c>
      <c r="M539" s="1">
        <f t="shared" si="118"/>
        <v>159902233.85319671</v>
      </c>
      <c r="N539">
        <f t="shared" si="119"/>
        <v>1.5222700781921208E+59</v>
      </c>
      <c r="O539">
        <v>6.4058698300000003</v>
      </c>
      <c r="P539" s="1">
        <f t="shared" si="120"/>
        <v>2.7787030368812847E+63</v>
      </c>
      <c r="Q539" s="1">
        <f t="shared" si="121"/>
        <v>4.3377450847784155E+62</v>
      </c>
    </row>
    <row r="540" spans="1:17" x14ac:dyDescent="0.2">
      <c r="A540">
        <f t="shared" si="122"/>
        <v>539</v>
      </c>
      <c r="B540">
        <f t="shared" si="114"/>
        <v>157.89473684210526</v>
      </c>
      <c r="C540">
        <f t="shared" si="123"/>
        <v>539000</v>
      </c>
      <c r="E540" t="s">
        <v>11</v>
      </c>
      <c r="F540">
        <v>12.090861950000001</v>
      </c>
      <c r="G540">
        <v>43.429000000000002</v>
      </c>
      <c r="H540">
        <f t="shared" si="115"/>
        <v>0.2784052580073223</v>
      </c>
      <c r="I540">
        <v>4307.0764639999998</v>
      </c>
      <c r="J540">
        <f t="shared" si="116"/>
        <v>15470.528447730394</v>
      </c>
      <c r="K540" s="1">
        <v>1.53E-6</v>
      </c>
      <c r="L540" s="1">
        <f t="shared" si="117"/>
        <v>17376.30998453623</v>
      </c>
      <c r="M540" s="1">
        <f t="shared" si="118"/>
        <v>152216475.46453738</v>
      </c>
      <c r="N540">
        <f t="shared" si="119"/>
        <v>3.6307245276766444E+255</v>
      </c>
      <c r="O540">
        <v>6.6491788319999996</v>
      </c>
      <c r="P540" s="1">
        <f t="shared" si="120"/>
        <v>6.3088594861368267E+259</v>
      </c>
      <c r="Q540" s="1">
        <f t="shared" si="121"/>
        <v>9.4881783834338397E+258</v>
      </c>
    </row>
    <row r="541" spans="1:17" x14ac:dyDescent="0.2">
      <c r="A541">
        <f t="shared" si="122"/>
        <v>540</v>
      </c>
      <c r="B541">
        <f t="shared" si="114"/>
        <v>157.89473684210526</v>
      </c>
      <c r="C541">
        <f t="shared" si="123"/>
        <v>540000</v>
      </c>
      <c r="E541" t="s">
        <v>11</v>
      </c>
      <c r="F541">
        <v>12.078043790000001</v>
      </c>
      <c r="G541">
        <v>43.429000000000002</v>
      </c>
      <c r="H541">
        <f t="shared" si="115"/>
        <v>0.27811010592000734</v>
      </c>
      <c r="I541">
        <v>1801.9833349999999</v>
      </c>
      <c r="J541">
        <f t="shared" si="116"/>
        <v>6479.3881870596369</v>
      </c>
      <c r="K541" s="1">
        <v>1.5400000000000001E-6</v>
      </c>
      <c r="L541" s="1">
        <f t="shared" si="117"/>
        <v>17226.892362395669</v>
      </c>
      <c r="M541" s="1">
        <f t="shared" si="118"/>
        <v>150907577.09458607</v>
      </c>
      <c r="N541">
        <f t="shared" si="119"/>
        <v>1.1788909926159881E+107</v>
      </c>
      <c r="O541">
        <v>7.3182785890000002</v>
      </c>
      <c r="P541" s="1">
        <f t="shared" si="120"/>
        <v>2.0308628236793414E+111</v>
      </c>
      <c r="Q541" s="1">
        <f t="shared" si="121"/>
        <v>2.7750553616965366E+110</v>
      </c>
    </row>
    <row r="542" spans="1:17" x14ac:dyDescent="0.2">
      <c r="A542">
        <f t="shared" si="122"/>
        <v>541</v>
      </c>
      <c r="B542">
        <f t="shared" si="114"/>
        <v>157.89473684210526</v>
      </c>
      <c r="C542">
        <f t="shared" si="123"/>
        <v>541000</v>
      </c>
      <c r="E542" t="s">
        <v>11</v>
      </c>
      <c r="F542">
        <v>11.98585413</v>
      </c>
      <c r="G542">
        <v>43.429000000000002</v>
      </c>
      <c r="H542">
        <f t="shared" si="115"/>
        <v>0.27598733864468439</v>
      </c>
      <c r="I542">
        <v>2145.048581</v>
      </c>
      <c r="J542">
        <f t="shared" si="116"/>
        <v>7772.2716974404739</v>
      </c>
      <c r="K542" s="1">
        <v>1.57E-6</v>
      </c>
      <c r="L542" s="1">
        <f t="shared" si="117"/>
        <v>16640.745735424374</v>
      </c>
      <c r="M542" s="1">
        <f t="shared" si="118"/>
        <v>145772932.64231753</v>
      </c>
      <c r="N542">
        <f t="shared" si="119"/>
        <v>2.65107224984667E+128</v>
      </c>
      <c r="O542">
        <v>7.7326642339999996</v>
      </c>
      <c r="P542" s="1">
        <f t="shared" si="120"/>
        <v>4.4115819235937875E+132</v>
      </c>
      <c r="Q542" s="1">
        <f t="shared" si="121"/>
        <v>5.7051254135623288E+131</v>
      </c>
    </row>
    <row r="543" spans="1:17" x14ac:dyDescent="0.2">
      <c r="A543">
        <f t="shared" si="122"/>
        <v>542</v>
      </c>
      <c r="B543">
        <f t="shared" si="114"/>
        <v>157.89473684210526</v>
      </c>
      <c r="C543">
        <f t="shared" si="123"/>
        <v>542000</v>
      </c>
      <c r="E543" t="s">
        <v>11</v>
      </c>
      <c r="F543">
        <v>11.88916231</v>
      </c>
      <c r="G543">
        <v>43.429000000000002</v>
      </c>
      <c r="H543">
        <f t="shared" si="115"/>
        <v>0.27376090423449767</v>
      </c>
      <c r="I543">
        <v>633.33369760000005</v>
      </c>
      <c r="J543">
        <f t="shared" si="116"/>
        <v>2313.4556023291775</v>
      </c>
      <c r="K543" s="1">
        <v>1.61E-6</v>
      </c>
      <c r="L543" s="1">
        <f t="shared" si="117"/>
        <v>15966.550442074786</v>
      </c>
      <c r="M543" s="1">
        <f t="shared" si="118"/>
        <v>139866981.87257513</v>
      </c>
      <c r="N543">
        <f t="shared" si="119"/>
        <v>1.8671188346510155E+38</v>
      </c>
      <c r="O543">
        <v>7.9417579079999996</v>
      </c>
      <c r="P543" s="1">
        <f t="shared" si="120"/>
        <v>2.9811447054803328E+42</v>
      </c>
      <c r="Q543" s="1">
        <f t="shared" si="121"/>
        <v>3.7537592306576424E+41</v>
      </c>
    </row>
    <row r="544" spans="1:17" x14ac:dyDescent="0.2">
      <c r="A544">
        <f t="shared" si="122"/>
        <v>543</v>
      </c>
      <c r="B544">
        <f t="shared" si="114"/>
        <v>157.89473684210526</v>
      </c>
      <c r="C544">
        <f t="shared" si="123"/>
        <v>543000</v>
      </c>
      <c r="E544" t="s">
        <v>11</v>
      </c>
      <c r="F544">
        <v>11.80481004</v>
      </c>
      <c r="G544">
        <v>43.429000000000002</v>
      </c>
      <c r="H544">
        <f t="shared" si="115"/>
        <v>0.27181860139538094</v>
      </c>
      <c r="I544">
        <v>563.86484810000002</v>
      </c>
      <c r="J544">
        <f t="shared" si="116"/>
        <v>2074.4159715538212</v>
      </c>
      <c r="K544" s="1">
        <v>1.64E-6</v>
      </c>
      <c r="L544" s="1">
        <f t="shared" si="117"/>
        <v>15452.851072035097</v>
      </c>
      <c r="M544" s="1">
        <f t="shared" si="118"/>
        <v>135366975.39102745</v>
      </c>
      <c r="N544">
        <f t="shared" si="119"/>
        <v>2.1058952166457591E+34</v>
      </c>
      <c r="O544">
        <v>7.9303527980000004</v>
      </c>
      <c r="P544" s="1">
        <f t="shared" si="120"/>
        <v>3.2542085156138002E+38</v>
      </c>
      <c r="Q544" s="1">
        <f t="shared" si="121"/>
        <v>4.103485177146844E+37</v>
      </c>
    </row>
    <row r="545" spans="1:17" x14ac:dyDescent="0.2">
      <c r="A545">
        <f t="shared" si="122"/>
        <v>544</v>
      </c>
      <c r="B545">
        <f t="shared" si="114"/>
        <v>157.89473684210526</v>
      </c>
      <c r="C545">
        <f t="shared" si="123"/>
        <v>544000</v>
      </c>
      <c r="E545" t="s">
        <v>11</v>
      </c>
      <c r="F545">
        <v>11.705913799999999</v>
      </c>
      <c r="G545">
        <v>43.429000000000002</v>
      </c>
      <c r="H545">
        <f t="shared" si="115"/>
        <v>0.26954140781505442</v>
      </c>
      <c r="I545">
        <v>633.33369760000005</v>
      </c>
      <c r="J545">
        <f t="shared" si="116"/>
        <v>2349.6712536077625</v>
      </c>
      <c r="K545" s="1">
        <v>1.68E-6</v>
      </c>
      <c r="L545" s="1">
        <f t="shared" si="117"/>
        <v>14833.233149246471</v>
      </c>
      <c r="M545" s="1">
        <f t="shared" si="118"/>
        <v>129939122.38739909</v>
      </c>
      <c r="N545">
        <f t="shared" si="119"/>
        <v>7.4006998221890922E+38</v>
      </c>
      <c r="O545">
        <v>8.0063868609999993</v>
      </c>
      <c r="P545" s="1">
        <f t="shared" si="120"/>
        <v>1.097763059301177E+43</v>
      </c>
      <c r="Q545" s="1">
        <f t="shared" si="121"/>
        <v>1.3711091886510042E+42</v>
      </c>
    </row>
    <row r="546" spans="1:17" x14ac:dyDescent="0.2">
      <c r="A546">
        <f t="shared" si="122"/>
        <v>545</v>
      </c>
      <c r="B546">
        <f t="shared" si="114"/>
        <v>157.89473684210526</v>
      </c>
      <c r="C546">
        <f t="shared" si="123"/>
        <v>545000</v>
      </c>
      <c r="E546" t="s">
        <v>11</v>
      </c>
      <c r="F546">
        <v>11.57169266</v>
      </c>
      <c r="G546">
        <v>43.429000000000002</v>
      </c>
      <c r="H546">
        <f t="shared" si="115"/>
        <v>0.26645081995901354</v>
      </c>
      <c r="I546">
        <v>563.86484810000002</v>
      </c>
      <c r="J546">
        <f t="shared" si="116"/>
        <v>2116.2060908153176</v>
      </c>
      <c r="K546" s="1">
        <v>1.7400000000000001E-6</v>
      </c>
      <c r="L546" s="1">
        <f t="shared" si="117"/>
        <v>13995.19628373156</v>
      </c>
      <c r="M546" s="1">
        <f t="shared" si="118"/>
        <v>122597919.44548847</v>
      </c>
      <c r="N546">
        <f t="shared" si="119"/>
        <v>1.0318102216516786E+35</v>
      </c>
      <c r="O546">
        <v>8.4131690999999993</v>
      </c>
      <c r="P546" s="1">
        <f t="shared" si="120"/>
        <v>1.4440386579575809E+39</v>
      </c>
      <c r="Q546" s="1">
        <f t="shared" si="121"/>
        <v>1.7164027500143568E+38</v>
      </c>
    </row>
    <row r="547" spans="1:17" x14ac:dyDescent="0.2">
      <c r="A547">
        <f t="shared" si="122"/>
        <v>546</v>
      </c>
      <c r="B547">
        <f t="shared" si="114"/>
        <v>157.89473684210526</v>
      </c>
      <c r="C547">
        <f t="shared" si="123"/>
        <v>546000</v>
      </c>
      <c r="E547" t="s">
        <v>11</v>
      </c>
      <c r="F547">
        <v>11.5292393</v>
      </c>
      <c r="G547">
        <v>43.429000000000002</v>
      </c>
      <c r="H547">
        <f t="shared" si="115"/>
        <v>0.26547328513205459</v>
      </c>
      <c r="I547">
        <v>711.36119550000001</v>
      </c>
      <c r="J547">
        <f t="shared" si="116"/>
        <v>2679.5961602921629</v>
      </c>
      <c r="K547" s="1">
        <v>1.7600000000000001E-6</v>
      </c>
      <c r="L547" s="1">
        <f t="shared" si="117"/>
        <v>13734.824054403507</v>
      </c>
      <c r="M547" s="1">
        <f t="shared" si="118"/>
        <v>120317058.71657473</v>
      </c>
      <c r="N547">
        <f t="shared" si="119"/>
        <v>2.079585054680155E+44</v>
      </c>
      <c r="O547">
        <v>8.6716849150000002</v>
      </c>
      <c r="P547" s="1">
        <f t="shared" si="120"/>
        <v>2.8562734832199024E+48</v>
      </c>
      <c r="Q547" s="1">
        <f t="shared" si="121"/>
        <v>3.2937929724351643E+47</v>
      </c>
    </row>
    <row r="548" spans="1:17" x14ac:dyDescent="0.2">
      <c r="A548">
        <f t="shared" si="122"/>
        <v>547</v>
      </c>
      <c r="B548">
        <f t="shared" si="114"/>
        <v>157.89473684210526</v>
      </c>
      <c r="C548">
        <f t="shared" si="123"/>
        <v>547000</v>
      </c>
      <c r="E548" t="s">
        <v>11</v>
      </c>
      <c r="F548">
        <v>11.516309250000001</v>
      </c>
      <c r="G548">
        <v>43.429000000000002</v>
      </c>
      <c r="H548">
        <f t="shared" si="115"/>
        <v>0.26517555665569092</v>
      </c>
      <c r="I548">
        <v>753.90905290000001</v>
      </c>
      <c r="J548">
        <f t="shared" si="116"/>
        <v>2843.0563601263225</v>
      </c>
      <c r="K548" s="1">
        <v>1.7600000000000001E-6</v>
      </c>
      <c r="L548" s="1">
        <f t="shared" si="117"/>
        <v>13704.0340998556</v>
      </c>
      <c r="M548" s="1">
        <f t="shared" si="118"/>
        <v>120047338.71473506</v>
      </c>
      <c r="N548">
        <f t="shared" si="119"/>
        <v>1.0411635299466628E+47</v>
      </c>
      <c r="O548">
        <v>8.9872262769999995</v>
      </c>
      <c r="P548" s="1">
        <f t="shared" si="120"/>
        <v>1.4268140517915095E+51</v>
      </c>
      <c r="Q548" s="1">
        <f t="shared" si="121"/>
        <v>1.5876022343434199E+50</v>
      </c>
    </row>
    <row r="549" spans="1:17" x14ac:dyDescent="0.2">
      <c r="A549">
        <f t="shared" si="122"/>
        <v>548</v>
      </c>
      <c r="B549">
        <f t="shared" si="114"/>
        <v>157.89473684210526</v>
      </c>
      <c r="C549">
        <f t="shared" si="123"/>
        <v>548000</v>
      </c>
      <c r="E549" t="s">
        <v>11</v>
      </c>
      <c r="F549">
        <v>11.48972363</v>
      </c>
      <c r="G549">
        <v>43.429000000000002</v>
      </c>
      <c r="H549">
        <f t="shared" si="115"/>
        <v>0.26456339381519262</v>
      </c>
      <c r="I549">
        <v>532.04238750000002</v>
      </c>
      <c r="J549">
        <f t="shared" si="116"/>
        <v>2011.020420578863</v>
      </c>
      <c r="K549" s="1">
        <v>1.7799999999999999E-6</v>
      </c>
      <c r="L549" s="1">
        <f t="shared" si="117"/>
        <v>13487.567273047955</v>
      </c>
      <c r="M549" s="1">
        <f t="shared" si="118"/>
        <v>118151089.31190008</v>
      </c>
      <c r="N549">
        <f t="shared" si="119"/>
        <v>1.8899937773516189E+33</v>
      </c>
      <c r="O549">
        <v>9.4054136249999996</v>
      </c>
      <c r="P549" s="1">
        <f t="shared" si="120"/>
        <v>2.5491418217671979E+37</v>
      </c>
      <c r="Q549" s="1">
        <f t="shared" si="121"/>
        <v>2.7102920970870095E+36</v>
      </c>
    </row>
    <row r="550" spans="1:17" x14ac:dyDescent="0.2">
      <c r="A550">
        <f t="shared" si="122"/>
        <v>549</v>
      </c>
      <c r="B550">
        <f t="shared" si="114"/>
        <v>157.89473684210526</v>
      </c>
      <c r="C550">
        <f t="shared" si="123"/>
        <v>549000</v>
      </c>
      <c r="E550" t="s">
        <v>11</v>
      </c>
      <c r="F550">
        <v>11.489072350000001</v>
      </c>
      <c r="G550">
        <v>43.429000000000002</v>
      </c>
      <c r="H550">
        <f t="shared" si="115"/>
        <v>0.26454839738423636</v>
      </c>
      <c r="I550">
        <v>597.59067030000006</v>
      </c>
      <c r="J550">
        <f t="shared" si="116"/>
        <v>2258.9086768575098</v>
      </c>
      <c r="K550" s="1">
        <v>1.7799999999999999E-6</v>
      </c>
      <c r="L550" s="1">
        <f t="shared" si="117"/>
        <v>13486.038266061107</v>
      </c>
      <c r="M550" s="1">
        <f t="shared" si="118"/>
        <v>118137695.2106953</v>
      </c>
      <c r="N550">
        <f t="shared" si="119"/>
        <v>2.3460132849523885E+37</v>
      </c>
      <c r="O550">
        <v>11.260644770000001</v>
      </c>
      <c r="P550" s="1">
        <f t="shared" si="120"/>
        <v>3.163842493355563E+41</v>
      </c>
      <c r="Q550" s="1">
        <f t="shared" si="121"/>
        <v>2.8096459465487274E+40</v>
      </c>
    </row>
    <row r="551" spans="1:17" x14ac:dyDescent="0.2">
      <c r="A551">
        <f t="shared" si="122"/>
        <v>550</v>
      </c>
      <c r="B551">
        <f>3000/19</f>
        <v>157.89473684210526</v>
      </c>
      <c r="C551">
        <f t="shared" si="123"/>
        <v>550000</v>
      </c>
      <c r="E551" t="s">
        <v>11</v>
      </c>
      <c r="F551">
        <v>11.419215469999999</v>
      </c>
      <c r="G551">
        <v>43.429000000000002</v>
      </c>
      <c r="H551">
        <f t="shared" si="115"/>
        <v>0.2629398666789472</v>
      </c>
      <c r="I551">
        <v>473.68393809999998</v>
      </c>
      <c r="J551">
        <f t="shared" si="116"/>
        <v>1801.491512423918</v>
      </c>
      <c r="K551" s="1">
        <v>1.81E-6</v>
      </c>
      <c r="L551" s="1">
        <f t="shared" si="117"/>
        <v>13101.723263412096</v>
      </c>
      <c r="M551" s="1">
        <f t="shared" si="118"/>
        <v>114771095.78748995</v>
      </c>
      <c r="N551">
        <f t="shared" si="119"/>
        <v>6.5477822103104854E+29</v>
      </c>
      <c r="O551">
        <v>11.789081510000001</v>
      </c>
      <c r="P551" s="1">
        <f t="shared" si="120"/>
        <v>8.5787230508580755E+33</v>
      </c>
      <c r="Q551" s="1">
        <f t="shared" si="121"/>
        <v>7.2768375072996467E+32</v>
      </c>
    </row>
    <row r="552" spans="1:17" x14ac:dyDescent="0.2">
      <c r="A552">
        <f t="shared" si="122"/>
        <v>551</v>
      </c>
      <c r="B552">
        <f t="shared" ref="B552:B581" si="124">3000/19</f>
        <v>157.89473684210526</v>
      </c>
      <c r="C552">
        <f t="shared" si="123"/>
        <v>551000</v>
      </c>
      <c r="E552" t="s">
        <v>11</v>
      </c>
      <c r="F552">
        <v>11.325339749999999</v>
      </c>
      <c r="G552">
        <v>43.429000000000002</v>
      </c>
      <c r="H552">
        <f t="shared" si="115"/>
        <v>0.26077827603674963</v>
      </c>
      <c r="I552">
        <v>532.04238750000002</v>
      </c>
      <c r="J552">
        <f t="shared" si="116"/>
        <v>2040.2097735511645</v>
      </c>
      <c r="K552" s="1">
        <v>1.8500000000000001E-6</v>
      </c>
      <c r="L552" s="1">
        <f t="shared" si="117"/>
        <v>12608.551931716662</v>
      </c>
      <c r="M552" s="1">
        <f t="shared" si="118"/>
        <v>110450914.92183796</v>
      </c>
      <c r="N552">
        <f t="shared" si="119"/>
        <v>5.734849345925862E+33</v>
      </c>
      <c r="O552">
        <v>12.055200729999999</v>
      </c>
      <c r="P552" s="1">
        <f t="shared" si="120"/>
        <v>7.2308145798677564E+37</v>
      </c>
      <c r="Q552" s="1">
        <f t="shared" si="121"/>
        <v>5.9980872503213448E+36</v>
      </c>
    </row>
    <row r="553" spans="1:17" x14ac:dyDescent="0.2">
      <c r="A553">
        <f t="shared" si="122"/>
        <v>552</v>
      </c>
      <c r="B553">
        <f t="shared" si="124"/>
        <v>157.89473684210526</v>
      </c>
      <c r="C553">
        <f t="shared" si="123"/>
        <v>552000</v>
      </c>
      <c r="E553" t="s">
        <v>11</v>
      </c>
      <c r="F553">
        <v>11.06405767</v>
      </c>
      <c r="G553">
        <v>43.429000000000002</v>
      </c>
      <c r="H553">
        <f t="shared" si="115"/>
        <v>0.25476197172396325</v>
      </c>
      <c r="I553">
        <v>711.36119550000001</v>
      </c>
      <c r="J553">
        <f t="shared" si="116"/>
        <v>2792.2581643023468</v>
      </c>
      <c r="K553" s="1">
        <v>1.99E-6</v>
      </c>
      <c r="L553" s="1">
        <f t="shared" si="117"/>
        <v>11186.912636774743</v>
      </c>
      <c r="M553" s="1">
        <f t="shared" si="118"/>
        <v>97997354.698146746</v>
      </c>
      <c r="N553">
        <f t="shared" si="119"/>
        <v>1.5086470817263647E+46</v>
      </c>
      <c r="O553">
        <v>14.537712900000001</v>
      </c>
      <c r="P553" s="1">
        <f t="shared" si="120"/>
        <v>1.6877103102998006E+50</v>
      </c>
      <c r="Q553" s="1">
        <f t="shared" si="121"/>
        <v>1.160918723535805E+49</v>
      </c>
    </row>
    <row r="554" spans="1:17" x14ac:dyDescent="0.2">
      <c r="A554">
        <f t="shared" si="122"/>
        <v>553</v>
      </c>
      <c r="B554">
        <f t="shared" si="124"/>
        <v>157.89473684210526</v>
      </c>
      <c r="C554">
        <f t="shared" si="123"/>
        <v>553000</v>
      </c>
      <c r="E554" t="s">
        <v>11</v>
      </c>
      <c r="F554">
        <v>10.999916560000001</v>
      </c>
      <c r="G554">
        <v>43.429000000000002</v>
      </c>
      <c r="H554">
        <f t="shared" si="115"/>
        <v>0.25328505284487324</v>
      </c>
      <c r="I554">
        <v>671.21458289999998</v>
      </c>
      <c r="J554">
        <f t="shared" si="116"/>
        <v>2650.0362945265924</v>
      </c>
      <c r="K554" s="1">
        <v>2.0200000000000001E-6</v>
      </c>
      <c r="L554" s="1">
        <f t="shared" si="117"/>
        <v>10893.36043176147</v>
      </c>
      <c r="M554" s="1">
        <f t="shared" si="118"/>
        <v>95425837.382230476</v>
      </c>
      <c r="N554">
        <f t="shared" si="119"/>
        <v>6.7576553180257656E+43</v>
      </c>
      <c r="O554">
        <v>15.57937956</v>
      </c>
      <c r="P554" s="1">
        <f t="shared" si="120"/>
        <v>7.3613575052864353E+47</v>
      </c>
      <c r="Q554" s="1">
        <f t="shared" si="121"/>
        <v>4.7250646130906864E+46</v>
      </c>
    </row>
    <row r="555" spans="1:17" x14ac:dyDescent="0.2">
      <c r="A555">
        <f t="shared" si="122"/>
        <v>554</v>
      </c>
      <c r="B555">
        <f t="shared" si="124"/>
        <v>157.89473684210526</v>
      </c>
      <c r="C555">
        <f t="shared" si="123"/>
        <v>554000</v>
      </c>
      <c r="E555" t="s">
        <v>11</v>
      </c>
      <c r="F555">
        <v>10.903062159999999</v>
      </c>
      <c r="G555">
        <v>43.429000000000002</v>
      </c>
      <c r="H555">
        <f t="shared" si="115"/>
        <v>0.25105487485320865</v>
      </c>
      <c r="I555">
        <v>633.33369760000005</v>
      </c>
      <c r="J555">
        <f t="shared" si="116"/>
        <v>2522.6903001597129</v>
      </c>
      <c r="K555" s="1">
        <v>2.08E-6</v>
      </c>
      <c r="L555" s="1">
        <f t="shared" si="117"/>
        <v>10393.650343429408</v>
      </c>
      <c r="M555" s="1">
        <f t="shared" si="118"/>
        <v>91048377.008441612</v>
      </c>
      <c r="N555">
        <f t="shared" si="119"/>
        <v>5.3294112010553634E+41</v>
      </c>
      <c r="O555">
        <v>16.628649639999999</v>
      </c>
      <c r="P555" s="1">
        <f t="shared" si="120"/>
        <v>5.539203656012561E+45</v>
      </c>
      <c r="Q555" s="1">
        <f t="shared" si="121"/>
        <v>3.3311205515377984E+44</v>
      </c>
    </row>
    <row r="556" spans="1:17" x14ac:dyDescent="0.2">
      <c r="A556">
        <f t="shared" si="122"/>
        <v>555</v>
      </c>
      <c r="B556">
        <f t="shared" si="124"/>
        <v>157.89473684210526</v>
      </c>
      <c r="C556">
        <f t="shared" si="123"/>
        <v>555000</v>
      </c>
      <c r="E556" t="s">
        <v>11</v>
      </c>
      <c r="F556">
        <v>10.821683889999999</v>
      </c>
      <c r="G556">
        <v>43.429000000000002</v>
      </c>
      <c r="H556">
        <f t="shared" si="115"/>
        <v>0.24918105160146442</v>
      </c>
      <c r="I556">
        <v>711.36119550000001</v>
      </c>
      <c r="J556">
        <f t="shared" si="116"/>
        <v>2854.7965061072859</v>
      </c>
      <c r="K556" s="1">
        <v>2.12E-6</v>
      </c>
      <c r="L556" s="1">
        <f t="shared" si="117"/>
        <v>10045.886977209249</v>
      </c>
      <c r="M556" s="1">
        <f t="shared" si="118"/>
        <v>88001969.920353025</v>
      </c>
      <c r="N556">
        <f t="shared" si="119"/>
        <v>1.6270737810100661E+47</v>
      </c>
      <c r="O556">
        <v>17.609489050000001</v>
      </c>
      <c r="P556" s="1">
        <f t="shared" si="120"/>
        <v>1.6345399307607638E+51</v>
      </c>
      <c r="Q556" s="1">
        <f t="shared" si="121"/>
        <v>9.2821542187833313E+49</v>
      </c>
    </row>
    <row r="557" spans="1:17" x14ac:dyDescent="0.2">
      <c r="A557">
        <f t="shared" si="122"/>
        <v>556</v>
      </c>
      <c r="B557">
        <f t="shared" si="124"/>
        <v>157.89473684210526</v>
      </c>
      <c r="C557">
        <f t="shared" si="123"/>
        <v>556000</v>
      </c>
      <c r="E557" t="s">
        <v>11</v>
      </c>
      <c r="F557">
        <v>10.614141160000001</v>
      </c>
      <c r="G557">
        <v>43.429000000000002</v>
      </c>
      <c r="H557">
        <f t="shared" si="115"/>
        <v>0.24440215432084553</v>
      </c>
      <c r="I557">
        <v>1271.6805979999999</v>
      </c>
      <c r="J557">
        <f t="shared" si="116"/>
        <v>5203.2299041462902</v>
      </c>
      <c r="K557" s="1">
        <v>2.2500000000000001E-6</v>
      </c>
      <c r="L557" s="1">
        <f t="shared" si="117"/>
        <v>9105.8745207013089</v>
      </c>
      <c r="M557" s="1">
        <f t="shared" si="118"/>
        <v>79767460.801343471</v>
      </c>
      <c r="N557">
        <f t="shared" si="119"/>
        <v>9.9024478950134565E+85</v>
      </c>
      <c r="O557">
        <v>19.331660580000001</v>
      </c>
      <c r="P557" s="1">
        <f t="shared" si="120"/>
        <v>9.0170447979775346E+89</v>
      </c>
      <c r="Q557" s="1">
        <f t="shared" si="121"/>
        <v>4.6643922598694488E+88</v>
      </c>
    </row>
    <row r="558" spans="1:17" x14ac:dyDescent="0.2">
      <c r="A558">
        <f t="shared" si="122"/>
        <v>557</v>
      </c>
      <c r="B558">
        <f t="shared" si="124"/>
        <v>157.89473684210526</v>
      </c>
      <c r="C558">
        <f t="shared" si="123"/>
        <v>557000</v>
      </c>
      <c r="E558" t="s">
        <v>11</v>
      </c>
      <c r="F558">
        <v>10.513612119999999</v>
      </c>
      <c r="G558">
        <v>43.429000000000002</v>
      </c>
      <c r="H558">
        <f t="shared" si="115"/>
        <v>0.24208736374312093</v>
      </c>
      <c r="I558">
        <v>3221.355423</v>
      </c>
      <c r="J558">
        <f t="shared" si="116"/>
        <v>13306.582273406812</v>
      </c>
      <c r="K558" s="1">
        <v>2.3199999999999998E-6</v>
      </c>
      <c r="L558" s="1">
        <f t="shared" si="117"/>
        <v>8664.6370895018499</v>
      </c>
      <c r="M558" s="1">
        <f t="shared" si="118"/>
        <v>75902220.904036209</v>
      </c>
      <c r="N558">
        <f t="shared" si="119"/>
        <v>6.6444824811710572E+219</v>
      </c>
      <c r="O558">
        <v>20.18324209</v>
      </c>
      <c r="P558" s="1">
        <f t="shared" si="120"/>
        <v>5.7572029346900018E+223</v>
      </c>
      <c r="Q558" s="1">
        <f t="shared" si="121"/>
        <v>2.8524668678192531E+222</v>
      </c>
    </row>
    <row r="559" spans="1:17" x14ac:dyDescent="0.2">
      <c r="A559">
        <f t="shared" si="122"/>
        <v>558</v>
      </c>
      <c r="B559">
        <f t="shared" si="124"/>
        <v>157.89473684210526</v>
      </c>
      <c r="C559">
        <f t="shared" si="123"/>
        <v>558000</v>
      </c>
      <c r="E559" t="s">
        <v>11</v>
      </c>
      <c r="F559">
        <v>10.402293419999999</v>
      </c>
      <c r="G559">
        <v>43.429000000000002</v>
      </c>
      <c r="H559">
        <f t="shared" si="115"/>
        <v>0.23952412949872204</v>
      </c>
      <c r="I559">
        <v>375.46850110000003</v>
      </c>
      <c r="J559">
        <f t="shared" si="116"/>
        <v>1567.5602365648231</v>
      </c>
      <c r="K559" s="1">
        <v>2.3999999999999999E-6</v>
      </c>
      <c r="L559" s="1">
        <f t="shared" si="117"/>
        <v>8199.3876474822318</v>
      </c>
      <c r="M559" s="1">
        <f t="shared" si="118"/>
        <v>71826635.791944355</v>
      </c>
      <c r="N559">
        <f t="shared" si="119"/>
        <v>8.9685743617286424E+25</v>
      </c>
      <c r="O559">
        <v>20.791514599999999</v>
      </c>
      <c r="P559" s="1">
        <f t="shared" si="120"/>
        <v>7.3536817837083678E+29</v>
      </c>
      <c r="Q559" s="1">
        <f t="shared" si="121"/>
        <v>3.5368668060903886E+28</v>
      </c>
    </row>
    <row r="560" spans="1:17" x14ac:dyDescent="0.2">
      <c r="A560">
        <f t="shared" si="122"/>
        <v>559</v>
      </c>
      <c r="B560">
        <f t="shared" si="124"/>
        <v>157.89473684210526</v>
      </c>
      <c r="C560">
        <f t="shared" si="123"/>
        <v>559000</v>
      </c>
      <c r="E560" t="s">
        <v>11</v>
      </c>
      <c r="F560">
        <v>10.303443079999999</v>
      </c>
      <c r="G560">
        <v>43.429000000000002</v>
      </c>
      <c r="H560">
        <f t="shared" si="115"/>
        <v>0.23724799281586034</v>
      </c>
      <c r="I560">
        <v>563.86484810000002</v>
      </c>
      <c r="J560">
        <f t="shared" si="116"/>
        <v>2376.6896461697056</v>
      </c>
      <c r="K560" s="1">
        <v>2.48E-6</v>
      </c>
      <c r="L560" s="1">
        <f t="shared" si="117"/>
        <v>7784.8013155798399</v>
      </c>
      <c r="M560" s="1">
        <f t="shared" si="118"/>
        <v>68194859.524479404</v>
      </c>
      <c r="N560">
        <f t="shared" si="119"/>
        <v>2.0676691895308527E+39</v>
      </c>
      <c r="O560">
        <v>21.76094891</v>
      </c>
      <c r="P560" s="1">
        <f t="shared" si="120"/>
        <v>1.6096393826843683E+43</v>
      </c>
      <c r="Q560" s="1">
        <f t="shared" si="121"/>
        <v>7.3969172453903272E+41</v>
      </c>
    </row>
    <row r="561" spans="1:17" x14ac:dyDescent="0.2">
      <c r="A561">
        <f t="shared" si="122"/>
        <v>560</v>
      </c>
      <c r="B561">
        <f t="shared" si="124"/>
        <v>157.89473684210526</v>
      </c>
      <c r="C561">
        <f t="shared" si="123"/>
        <v>560000</v>
      </c>
      <c r="E561" t="s">
        <v>11</v>
      </c>
      <c r="F561">
        <v>10.15825349</v>
      </c>
      <c r="G561">
        <v>43.429000000000002</v>
      </c>
      <c r="H561">
        <f t="shared" si="115"/>
        <v>0.23390484445877177</v>
      </c>
      <c r="I561">
        <v>446.95095679999997</v>
      </c>
      <c r="J561">
        <f t="shared" si="116"/>
        <v>1910.8238558897392</v>
      </c>
      <c r="K561" s="1">
        <v>2.5900000000000002E-6</v>
      </c>
      <c r="L561" s="1">
        <f t="shared" si="117"/>
        <v>7245.5738832508878</v>
      </c>
      <c r="M561" s="1">
        <f t="shared" si="118"/>
        <v>63471227.21727778</v>
      </c>
      <c r="N561">
        <f t="shared" si="119"/>
        <v>4.1851970549740686E+31</v>
      </c>
      <c r="O561">
        <v>22.79881387</v>
      </c>
      <c r="P561" s="1">
        <f t="shared" si="120"/>
        <v>3.0324154477778641E+35</v>
      </c>
      <c r="Q561" s="1">
        <f t="shared" si="121"/>
        <v>1.330075970210052E+34</v>
      </c>
    </row>
    <row r="562" spans="1:17" x14ac:dyDescent="0.2">
      <c r="A562">
        <f t="shared" si="122"/>
        <v>561</v>
      </c>
      <c r="B562">
        <f t="shared" si="124"/>
        <v>157.89473684210526</v>
      </c>
      <c r="C562">
        <f t="shared" si="123"/>
        <v>561000</v>
      </c>
      <c r="E562" t="s">
        <v>11</v>
      </c>
      <c r="F562">
        <v>10.00374607</v>
      </c>
      <c r="G562">
        <v>43.429000000000002</v>
      </c>
      <c r="H562">
        <f t="shared" si="115"/>
        <v>0.23034714292293168</v>
      </c>
      <c r="I562">
        <v>473.68393809999998</v>
      </c>
      <c r="J562">
        <f t="shared" si="116"/>
        <v>2056.3916360728754</v>
      </c>
      <c r="K562" s="1">
        <v>2.7300000000000001E-6</v>
      </c>
      <c r="L562" s="1">
        <f t="shared" si="117"/>
        <v>6666.4884779105605</v>
      </c>
      <c r="M562" s="1">
        <f t="shared" si="118"/>
        <v>58398439.066496506</v>
      </c>
      <c r="N562">
        <f t="shared" si="119"/>
        <v>1.0611216656865439E+34</v>
      </c>
      <c r="O562">
        <v>24.520985400000001</v>
      </c>
      <c r="P562" s="1">
        <f t="shared" si="120"/>
        <v>7.0739553579606064E+37</v>
      </c>
      <c r="Q562" s="1">
        <f t="shared" si="121"/>
        <v>2.8848577015019171E+36</v>
      </c>
    </row>
    <row r="563" spans="1:17" x14ac:dyDescent="0.2">
      <c r="A563">
        <f t="shared" si="122"/>
        <v>562</v>
      </c>
      <c r="B563">
        <f t="shared" si="124"/>
        <v>157.89473684210526</v>
      </c>
      <c r="C563">
        <f t="shared" si="123"/>
        <v>562000</v>
      </c>
      <c r="E563" t="s">
        <v>11</v>
      </c>
      <c r="F563">
        <v>9.8872385129999998</v>
      </c>
      <c r="G563">
        <v>43.429000000000002</v>
      </c>
      <c r="H563">
        <f t="shared" si="115"/>
        <v>0.22766442959773422</v>
      </c>
      <c r="I563">
        <v>671.21458289999998</v>
      </c>
      <c r="J563">
        <f t="shared" si="116"/>
        <v>2948.2628625208831</v>
      </c>
      <c r="K563" s="1">
        <v>2.83E-6</v>
      </c>
      <c r="L563" s="1">
        <f t="shared" si="117"/>
        <v>6282.0016709869815</v>
      </c>
      <c r="M563" s="1">
        <f t="shared" si="118"/>
        <v>55030334.637845956</v>
      </c>
      <c r="N563">
        <f t="shared" si="119"/>
        <v>5.6885612879380467E+48</v>
      </c>
      <c r="O563">
        <v>26.129105840000001</v>
      </c>
      <c r="P563" s="1">
        <f t="shared" si="120"/>
        <v>3.5735551516338665E+52</v>
      </c>
      <c r="Q563" s="1">
        <f t="shared" si="121"/>
        <v>1.3676530584384768E+51</v>
      </c>
    </row>
    <row r="564" spans="1:17" x14ac:dyDescent="0.2">
      <c r="A564">
        <f t="shared" si="122"/>
        <v>563</v>
      </c>
      <c r="B564">
        <f t="shared" si="124"/>
        <v>157.89473684210526</v>
      </c>
      <c r="C564">
        <f t="shared" si="123"/>
        <v>563000</v>
      </c>
      <c r="E564" t="s">
        <v>11</v>
      </c>
      <c r="F564">
        <v>9.802752173</v>
      </c>
      <c r="G564">
        <v>43.429000000000002</v>
      </c>
      <c r="H564">
        <f t="shared" si="115"/>
        <v>0.22571903965092449</v>
      </c>
      <c r="I564">
        <v>671.21458289999998</v>
      </c>
      <c r="J564">
        <f t="shared" si="116"/>
        <v>2973.6728631223859</v>
      </c>
      <c r="K564" s="1">
        <v>2.92E-6</v>
      </c>
      <c r="L564" s="1">
        <f t="shared" si="117"/>
        <v>5984.7726394866158</v>
      </c>
      <c r="M564" s="1">
        <f t="shared" si="118"/>
        <v>52426608.321902752</v>
      </c>
      <c r="N564">
        <f t="shared" si="119"/>
        <v>1.4950239302136263E+49</v>
      </c>
      <c r="O564">
        <v>27.269616790000001</v>
      </c>
      <c r="P564" s="1">
        <f t="shared" si="120"/>
        <v>8.9473783129202578E+52</v>
      </c>
      <c r="Q564" s="1">
        <f t="shared" si="121"/>
        <v>3.2810795919220023E+51</v>
      </c>
    </row>
    <row r="565" spans="1:17" x14ac:dyDescent="0.2">
      <c r="A565">
        <f t="shared" si="122"/>
        <v>564</v>
      </c>
      <c r="B565">
        <f t="shared" si="124"/>
        <v>157.89473684210526</v>
      </c>
      <c r="C565">
        <f t="shared" si="123"/>
        <v>564000</v>
      </c>
      <c r="E565" t="s">
        <v>11</v>
      </c>
      <c r="F565">
        <v>9.7647204550000009</v>
      </c>
      <c r="G565">
        <v>43.429000000000002</v>
      </c>
      <c r="H565">
        <f t="shared" si="115"/>
        <v>0.22484331794423082</v>
      </c>
      <c r="I565">
        <v>1199.911617</v>
      </c>
      <c r="J565">
        <f t="shared" si="116"/>
        <v>5336.6567793561071</v>
      </c>
      <c r="K565" s="1">
        <v>2.96E-6</v>
      </c>
      <c r="L565" s="1">
        <f t="shared" si="117"/>
        <v>5858.1755219900233</v>
      </c>
      <c r="M565" s="1">
        <f t="shared" si="118"/>
        <v>51317617.572632603</v>
      </c>
      <c r="N565">
        <f t="shared" si="119"/>
        <v>1.5822860877684076E+88</v>
      </c>
      <c r="O565">
        <v>25.74893552</v>
      </c>
      <c r="P565" s="1">
        <f t="shared" si="120"/>
        <v>9.2693096281502435E+91</v>
      </c>
      <c r="Q565" s="1">
        <f t="shared" si="121"/>
        <v>3.5998807100008005E+90</v>
      </c>
    </row>
    <row r="566" spans="1:17" x14ac:dyDescent="0.2">
      <c r="A566">
        <f t="shared" si="122"/>
        <v>565</v>
      </c>
      <c r="B566">
        <f t="shared" si="124"/>
        <v>157.89473684210526</v>
      </c>
      <c r="C566">
        <f t="shared" si="123"/>
        <v>565000</v>
      </c>
      <c r="E566" t="s">
        <v>11</v>
      </c>
      <c r="F566">
        <v>9.8639452419999998</v>
      </c>
      <c r="G566">
        <v>43.429000000000002</v>
      </c>
      <c r="H566">
        <f t="shared" si="115"/>
        <v>0.22712807667687487</v>
      </c>
      <c r="I566">
        <v>897.43978930000003</v>
      </c>
      <c r="J566">
        <f t="shared" si="116"/>
        <v>3951.2498957878647</v>
      </c>
      <c r="K566" s="1">
        <v>2.8600000000000001E-6</v>
      </c>
      <c r="L566" s="1">
        <f t="shared" si="117"/>
        <v>6186.8520918612485</v>
      </c>
      <c r="M566" s="1">
        <f t="shared" si="118"/>
        <v>54196824.324704535</v>
      </c>
      <c r="N566">
        <f t="shared" si="119"/>
        <v>2.0860045512346732E+65</v>
      </c>
      <c r="O566">
        <v>23.996350360000001</v>
      </c>
      <c r="P566" s="1">
        <f t="shared" si="120"/>
        <v>1.2905801621438322E+69</v>
      </c>
      <c r="Q566" s="1">
        <f t="shared" si="121"/>
        <v>5.3782352015293389E+67</v>
      </c>
    </row>
    <row r="567" spans="1:17" x14ac:dyDescent="0.2">
      <c r="A567">
        <f t="shared" si="122"/>
        <v>566</v>
      </c>
      <c r="B567">
        <f t="shared" si="124"/>
        <v>157.89473684210526</v>
      </c>
      <c r="C567">
        <f t="shared" si="123"/>
        <v>566000</v>
      </c>
      <c r="E567" t="s">
        <v>11</v>
      </c>
      <c r="F567">
        <v>10.020791969999999</v>
      </c>
      <c r="G567">
        <v>43.429000000000002</v>
      </c>
      <c r="H567">
        <f t="shared" si="115"/>
        <v>0.2307396433258882</v>
      </c>
      <c r="I567">
        <v>1513.7857329999999</v>
      </c>
      <c r="J567">
        <f t="shared" si="116"/>
        <v>6560.5793229990586</v>
      </c>
      <c r="K567" s="1">
        <v>2.7099999999999999E-6</v>
      </c>
      <c r="L567" s="1">
        <f t="shared" si="117"/>
        <v>6738.5935681698265</v>
      </c>
      <c r="M567" s="1">
        <f t="shared" si="118"/>
        <v>59030079.657167681</v>
      </c>
      <c r="N567">
        <f t="shared" si="119"/>
        <v>2.5843051844166997E+108</v>
      </c>
      <c r="O567">
        <v>21.810371050000001</v>
      </c>
      <c r="P567" s="1">
        <f t="shared" si="120"/>
        <v>1.741458229389831E+112</v>
      </c>
      <c r="Q567" s="1">
        <f t="shared" si="121"/>
        <v>7.9845419658269912E+110</v>
      </c>
    </row>
    <row r="568" spans="1:17" x14ac:dyDescent="0.2">
      <c r="A568">
        <f t="shared" si="122"/>
        <v>567</v>
      </c>
      <c r="B568">
        <f t="shared" si="124"/>
        <v>157.89473684210526</v>
      </c>
      <c r="C568">
        <f t="shared" si="123"/>
        <v>567000</v>
      </c>
      <c r="E568" t="s">
        <v>11</v>
      </c>
      <c r="F568">
        <v>12.54218674</v>
      </c>
      <c r="G568">
        <v>43.429000000000002</v>
      </c>
      <c r="H568">
        <f t="shared" si="115"/>
        <v>0.28879750259043496</v>
      </c>
      <c r="I568">
        <v>897.43978930000003</v>
      </c>
      <c r="J568">
        <f t="shared" si="116"/>
        <v>3107.5053670831967</v>
      </c>
      <c r="K568" s="1">
        <v>1.3799999999999999E-6</v>
      </c>
      <c r="L568" s="1">
        <f t="shared" si="117"/>
        <v>20730.124016918842</v>
      </c>
      <c r="M568" s="1">
        <f t="shared" si="118"/>
        <v>181595886.38820904</v>
      </c>
      <c r="N568">
        <f t="shared" si="119"/>
        <v>2.4259929780347645E+51</v>
      </c>
      <c r="O568">
        <v>6.8392639900000001</v>
      </c>
      <c r="P568" s="1">
        <f t="shared" si="120"/>
        <v>5.0291135298834936E+55</v>
      </c>
      <c r="Q568" s="1">
        <f t="shared" si="121"/>
        <v>7.353296403292503E+54</v>
      </c>
    </row>
    <row r="569" spans="1:17" x14ac:dyDescent="0.2">
      <c r="A569">
        <f t="shared" si="122"/>
        <v>568</v>
      </c>
      <c r="B569">
        <f t="shared" si="124"/>
        <v>157.89473684210526</v>
      </c>
      <c r="C569">
        <f t="shared" si="123"/>
        <v>568000</v>
      </c>
      <c r="E569" t="s">
        <v>11</v>
      </c>
      <c r="F569">
        <v>12.65155173</v>
      </c>
      <c r="G569">
        <v>43.429000000000002</v>
      </c>
      <c r="H569">
        <f t="shared" si="115"/>
        <v>0.29131575053535652</v>
      </c>
      <c r="I569">
        <v>421.72668670000002</v>
      </c>
      <c r="J569">
        <f t="shared" si="116"/>
        <v>1447.6618099947732</v>
      </c>
      <c r="K569" s="1">
        <v>1.35E-6</v>
      </c>
      <c r="L569" s="1">
        <f t="shared" si="117"/>
        <v>21561.962379942579</v>
      </c>
      <c r="M569" s="1">
        <f t="shared" si="118"/>
        <v>188882790.44829699</v>
      </c>
      <c r="N569">
        <f t="shared" si="119"/>
        <v>9.3886479752955098E+23</v>
      </c>
      <c r="O569">
        <v>5.8470194649999998</v>
      </c>
      <c r="P569" s="1">
        <f t="shared" si="120"/>
        <v>2.0243767444184584E+28</v>
      </c>
      <c r="Q569" s="1">
        <f t="shared" si="121"/>
        <v>3.4622370534873163E+27</v>
      </c>
    </row>
    <row r="570" spans="1:17" x14ac:dyDescent="0.2">
      <c r="A570">
        <f t="shared" si="122"/>
        <v>569</v>
      </c>
      <c r="B570">
        <f t="shared" si="124"/>
        <v>157.89473684210526</v>
      </c>
      <c r="C570">
        <f t="shared" si="123"/>
        <v>569000</v>
      </c>
      <c r="E570" t="s">
        <v>11</v>
      </c>
      <c r="F570">
        <v>12.67047874</v>
      </c>
      <c r="G570">
        <v>43.429000000000002</v>
      </c>
      <c r="H570">
        <f t="shared" si="115"/>
        <v>0.29175156554376108</v>
      </c>
      <c r="I570">
        <v>1801.9833349999999</v>
      </c>
      <c r="J570">
        <f t="shared" si="116"/>
        <v>6176.4307301710523</v>
      </c>
      <c r="K570" s="1">
        <v>1.3400000000000001E-6</v>
      </c>
      <c r="L570" s="1">
        <f t="shared" si="117"/>
        <v>21787.916990337151</v>
      </c>
      <c r="M570" s="1">
        <f t="shared" si="118"/>
        <v>190862152.83535343</v>
      </c>
      <c r="N570">
        <f t="shared" si="119"/>
        <v>1.1698675626789848E+102</v>
      </c>
      <c r="O570">
        <v>5.314781022</v>
      </c>
      <c r="P570" s="1">
        <f t="shared" si="120"/>
        <v>2.5488977345337766E+106</v>
      </c>
      <c r="Q570" s="1">
        <f t="shared" si="121"/>
        <v>4.7958659519232709E+105</v>
      </c>
    </row>
    <row r="571" spans="1:17" x14ac:dyDescent="0.2">
      <c r="A571">
        <f t="shared" si="122"/>
        <v>570</v>
      </c>
      <c r="B571">
        <f t="shared" si="124"/>
        <v>157.89473684210526</v>
      </c>
      <c r="C571">
        <f t="shared" si="123"/>
        <v>570000</v>
      </c>
      <c r="E571" t="s">
        <v>11</v>
      </c>
      <c r="F571">
        <v>12.69326633</v>
      </c>
      <c r="G571">
        <v>43.429000000000002</v>
      </c>
      <c r="H571">
        <f t="shared" si="115"/>
        <v>0.29227627460913214</v>
      </c>
      <c r="I571">
        <v>1199.911617</v>
      </c>
      <c r="J571">
        <f t="shared" si="116"/>
        <v>4105.4020501823825</v>
      </c>
      <c r="K571" s="1">
        <v>1.3400000000000001E-6</v>
      </c>
      <c r="L571" s="1">
        <f t="shared" si="117"/>
        <v>21866.357686486372</v>
      </c>
      <c r="M571" s="1">
        <f t="shared" si="118"/>
        <v>191549293.33362061</v>
      </c>
      <c r="N571">
        <f t="shared" si="119"/>
        <v>7.3305288649566117E+67</v>
      </c>
      <c r="O571">
        <v>4.9650243310000004</v>
      </c>
      <c r="P571" s="1">
        <f t="shared" si="120"/>
        <v>1.6029196619225423E+72</v>
      </c>
      <c r="Q571" s="1">
        <f t="shared" si="121"/>
        <v>3.2284225716970452E+71</v>
      </c>
    </row>
    <row r="572" spans="1:17" x14ac:dyDescent="0.2">
      <c r="A572">
        <f t="shared" si="122"/>
        <v>571</v>
      </c>
      <c r="B572">
        <f t="shared" si="124"/>
        <v>157.89473684210526</v>
      </c>
      <c r="C572">
        <f t="shared" si="123"/>
        <v>571000</v>
      </c>
      <c r="E572" t="s">
        <v>11</v>
      </c>
      <c r="F572">
        <v>12.49399064</v>
      </c>
      <c r="G572">
        <v>43.429000000000002</v>
      </c>
      <c r="H572">
        <f t="shared" si="115"/>
        <v>0.2876877349236685</v>
      </c>
      <c r="I572">
        <v>951.11735910000004</v>
      </c>
      <c r="J572">
        <f t="shared" si="116"/>
        <v>3306.0754548759533</v>
      </c>
      <c r="K572" s="1">
        <v>1.3999999999999999E-6</v>
      </c>
      <c r="L572" s="1">
        <f t="shared" si="117"/>
        <v>20277.237042250188</v>
      </c>
      <c r="M572" s="1">
        <f t="shared" si="118"/>
        <v>177628596.49011165</v>
      </c>
      <c r="N572">
        <f t="shared" si="119"/>
        <v>4.6160549173949099E+54</v>
      </c>
      <c r="O572">
        <v>4.5012165450000001</v>
      </c>
      <c r="P572" s="1">
        <f t="shared" si="120"/>
        <v>9.3600839760061195E+58</v>
      </c>
      <c r="Q572" s="1">
        <f t="shared" si="121"/>
        <v>2.0794564941345472E+58</v>
      </c>
    </row>
    <row r="573" spans="1:17" x14ac:dyDescent="0.2">
      <c r="A573">
        <f t="shared" si="122"/>
        <v>572</v>
      </c>
      <c r="B573">
        <f t="shared" si="124"/>
        <v>157.89473684210526</v>
      </c>
      <c r="C573">
        <f t="shared" si="123"/>
        <v>572000</v>
      </c>
      <c r="E573" t="s">
        <v>11</v>
      </c>
      <c r="F573">
        <v>13.42781667</v>
      </c>
      <c r="G573">
        <v>43.429000000000002</v>
      </c>
      <c r="H573">
        <f t="shared" si="115"/>
        <v>0.30919009578852841</v>
      </c>
      <c r="I573">
        <v>354.27843819999998</v>
      </c>
      <c r="J573">
        <f t="shared" si="116"/>
        <v>1145.827253284044</v>
      </c>
      <c r="K573" s="1">
        <v>1.1400000000000001E-6</v>
      </c>
      <c r="L573" s="1">
        <f t="shared" si="117"/>
        <v>28763.412946899774</v>
      </c>
      <c r="M573" s="1">
        <f t="shared" si="118"/>
        <v>251967497.41484201</v>
      </c>
      <c r="N573">
        <f t="shared" si="119"/>
        <v>9.723234986478166E+18</v>
      </c>
      <c r="O573">
        <v>3.8397201949999999</v>
      </c>
      <c r="P573" s="1">
        <f t="shared" si="120"/>
        <v>2.7967342309581494E+23</v>
      </c>
      <c r="Q573" s="1">
        <f t="shared" si="121"/>
        <v>7.2836927925112772E+22</v>
      </c>
    </row>
    <row r="574" spans="1:17" x14ac:dyDescent="0.2">
      <c r="A574">
        <f t="shared" si="122"/>
        <v>573</v>
      </c>
      <c r="B574">
        <f t="shared" si="124"/>
        <v>157.89473684210526</v>
      </c>
      <c r="C574">
        <f t="shared" si="123"/>
        <v>573000</v>
      </c>
      <c r="E574" t="s">
        <v>11</v>
      </c>
      <c r="F574">
        <v>10.68170555</v>
      </c>
      <c r="G574">
        <v>43.429000000000002</v>
      </c>
      <c r="H574">
        <f t="shared" si="115"/>
        <v>0.2459578979483755</v>
      </c>
      <c r="I574">
        <v>3039.5539570000001</v>
      </c>
      <c r="J574">
        <f t="shared" si="116"/>
        <v>12358.025427742015</v>
      </c>
      <c r="K574" s="1">
        <v>2.21E-6</v>
      </c>
      <c r="L574" s="1">
        <f t="shared" si="117"/>
        <v>9389.0876172723711</v>
      </c>
      <c r="M574" s="1">
        <f t="shared" si="118"/>
        <v>82248407.527305976</v>
      </c>
      <c r="N574">
        <f t="shared" si="119"/>
        <v>1.4356941129919976E+204</v>
      </c>
      <c r="O574">
        <v>17.723540150000002</v>
      </c>
      <c r="P574" s="1">
        <f t="shared" si="120"/>
        <v>1.3479857818484005E+208</v>
      </c>
      <c r="Q574" s="1">
        <f t="shared" si="121"/>
        <v>7.6056237661323014E+206</v>
      </c>
    </row>
    <row r="575" spans="1:17" x14ac:dyDescent="0.2">
      <c r="A575">
        <f t="shared" si="122"/>
        <v>574</v>
      </c>
      <c r="B575">
        <f t="shared" si="124"/>
        <v>157.89473684210526</v>
      </c>
      <c r="C575">
        <f t="shared" si="123"/>
        <v>574000</v>
      </c>
      <c r="E575" t="s">
        <v>11</v>
      </c>
      <c r="F575">
        <v>10.616215459999999</v>
      </c>
      <c r="G575">
        <v>43.429000000000002</v>
      </c>
      <c r="H575">
        <f t="shared" si="115"/>
        <v>0.24444991733634205</v>
      </c>
      <c r="I575">
        <v>597.59067030000006</v>
      </c>
      <c r="J575">
        <f t="shared" si="116"/>
        <v>2444.6343726014302</v>
      </c>
      <c r="K575" s="1">
        <v>2.2500000000000001E-6</v>
      </c>
      <c r="L575" s="1">
        <f t="shared" si="117"/>
        <v>9109.4339535157123</v>
      </c>
      <c r="M575" s="1">
        <f t="shared" si="118"/>
        <v>79798641.432797641</v>
      </c>
      <c r="N575">
        <f t="shared" si="119"/>
        <v>2.7389682061549557E+40</v>
      </c>
      <c r="O575">
        <v>18.90206813</v>
      </c>
      <c r="P575" s="1">
        <f t="shared" si="120"/>
        <v>2.4950449974747976E+44</v>
      </c>
      <c r="Q575" s="1">
        <f t="shared" si="121"/>
        <v>1.3199851890888289E+43</v>
      </c>
    </row>
    <row r="576" spans="1:17" x14ac:dyDescent="0.2">
      <c r="A576">
        <f t="shared" si="122"/>
        <v>575</v>
      </c>
      <c r="B576">
        <f t="shared" si="124"/>
        <v>157.89473684210526</v>
      </c>
      <c r="C576">
        <f t="shared" si="123"/>
        <v>575000</v>
      </c>
      <c r="E576" t="s">
        <v>11</v>
      </c>
      <c r="F576">
        <v>10.548406379999999</v>
      </c>
      <c r="G576">
        <v>43.429000000000002</v>
      </c>
      <c r="H576">
        <f t="shared" si="115"/>
        <v>0.24288853945520272</v>
      </c>
      <c r="I576">
        <v>502.01586959999997</v>
      </c>
      <c r="J576">
        <f t="shared" si="116"/>
        <v>2066.8569654460357</v>
      </c>
      <c r="K576" s="1">
        <v>2.3E-6</v>
      </c>
      <c r="L576" s="1">
        <f t="shared" si="117"/>
        <v>8797.9265266729471</v>
      </c>
      <c r="M576" s="1">
        <f t="shared" si="118"/>
        <v>77069836.373655021</v>
      </c>
      <c r="N576">
        <f t="shared" si="119"/>
        <v>1.5797919927369E+34</v>
      </c>
      <c r="O576">
        <v>19.989355230000001</v>
      </c>
      <c r="P576" s="1">
        <f t="shared" si="120"/>
        <v>1.3898893879525488E+38</v>
      </c>
      <c r="Q576" s="1">
        <f t="shared" si="121"/>
        <v>6.9531476726503133E+36</v>
      </c>
    </row>
    <row r="577" spans="1:17" x14ac:dyDescent="0.2">
      <c r="A577">
        <f t="shared" si="122"/>
        <v>576</v>
      </c>
      <c r="B577">
        <f t="shared" si="124"/>
        <v>157.89473684210526</v>
      </c>
      <c r="C577">
        <f t="shared" si="123"/>
        <v>576000</v>
      </c>
      <c r="E577" t="s">
        <v>11</v>
      </c>
      <c r="F577">
        <v>10.343750229999999</v>
      </c>
      <c r="G577">
        <v>43.429000000000002</v>
      </c>
      <c r="H577">
        <f t="shared" si="115"/>
        <v>0.2381761088212945</v>
      </c>
      <c r="I577">
        <v>597.59067030000006</v>
      </c>
      <c r="J577">
        <f t="shared" si="116"/>
        <v>2509.028606006731</v>
      </c>
      <c r="K577" s="1">
        <v>2.4399999999999999E-6</v>
      </c>
      <c r="L577" s="1">
        <f t="shared" si="117"/>
        <v>7974.4490053056652</v>
      </c>
      <c r="M577" s="1">
        <f t="shared" si="118"/>
        <v>69856173.286477625</v>
      </c>
      <c r="N577">
        <f t="shared" si="119"/>
        <v>3.1699805476570783E+41</v>
      </c>
      <c r="O577">
        <v>21.810371050000001</v>
      </c>
      <c r="P577" s="1">
        <f t="shared" si="120"/>
        <v>2.5278848225102296E+45</v>
      </c>
      <c r="Q577" s="1">
        <f t="shared" si="121"/>
        <v>1.1590288018095087E+44</v>
      </c>
    </row>
    <row r="578" spans="1:17" x14ac:dyDescent="0.2">
      <c r="A578">
        <f t="shared" si="122"/>
        <v>577</v>
      </c>
      <c r="B578">
        <f t="shared" si="124"/>
        <v>157.89473684210526</v>
      </c>
      <c r="C578">
        <f t="shared" si="123"/>
        <v>577000</v>
      </c>
      <c r="E578" t="s">
        <v>11</v>
      </c>
      <c r="F578">
        <v>10.24983319</v>
      </c>
      <c r="G578">
        <v>43.429000000000002</v>
      </c>
      <c r="H578">
        <f t="shared" si="115"/>
        <v>0.23601356674111768</v>
      </c>
      <c r="I578">
        <v>532.04238750000002</v>
      </c>
      <c r="J578">
        <f t="shared" si="116"/>
        <v>2254.287305795413</v>
      </c>
      <c r="K578" s="1">
        <v>2.52E-6</v>
      </c>
      <c r="L578" s="1">
        <f t="shared" si="117"/>
        <v>7581.7160572426019</v>
      </c>
      <c r="M578" s="1">
        <f t="shared" si="118"/>
        <v>66415832.661445193</v>
      </c>
      <c r="N578">
        <f t="shared" si="119"/>
        <v>1.9679252910322953E+37</v>
      </c>
      <c r="O578">
        <v>23.388077859999999</v>
      </c>
      <c r="P578" s="1">
        <f t="shared" si="120"/>
        <v>1.4920250778473374E+41</v>
      </c>
      <c r="Q578" s="1">
        <f t="shared" si="121"/>
        <v>6.3794258201915254E+39</v>
      </c>
    </row>
    <row r="579" spans="1:17" x14ac:dyDescent="0.2">
      <c r="A579">
        <f t="shared" si="122"/>
        <v>578</v>
      </c>
      <c r="B579">
        <f t="shared" si="124"/>
        <v>157.89473684210526</v>
      </c>
      <c r="C579">
        <f t="shared" si="123"/>
        <v>578000</v>
      </c>
      <c r="E579" t="s">
        <v>11</v>
      </c>
      <c r="F579">
        <v>10.160404979999999</v>
      </c>
      <c r="G579">
        <v>43.429000000000002</v>
      </c>
      <c r="H579">
        <f t="shared" ref="H579:H642" si="125">F579/43.429</f>
        <v>0.23395438485804412</v>
      </c>
      <c r="I579">
        <v>1700.2860149999999</v>
      </c>
      <c r="J579">
        <f t="shared" ref="J579:J642" si="126">I579/H579</f>
        <v>7267.5962710922386</v>
      </c>
      <c r="K579" s="1">
        <v>2.5900000000000002E-6</v>
      </c>
      <c r="L579" s="1">
        <f t="shared" ref="L579:L642" si="127">((H579^2)*0.343)/(K579)</f>
        <v>7248.6433932999607</v>
      </c>
      <c r="M579" s="1">
        <f t="shared" ref="M579:M642" si="128">L579*8760</f>
        <v>63498116.125307657</v>
      </c>
      <c r="N579">
        <f t="shared" ref="N579:N642" si="129">EXP((J579+3.9052)/(26.297))</f>
        <v>1.2266367640872495E+120</v>
      </c>
      <c r="O579">
        <v>25.15586983</v>
      </c>
      <c r="P579" s="1">
        <f t="shared" ref="P579:P642" si="130">L579*N579</f>
        <v>8.8914524759798834E+123</v>
      </c>
      <c r="Q579" s="1">
        <f t="shared" ref="Q579:Q642" si="131">P579/O579</f>
        <v>3.5345438404901634E+122</v>
      </c>
    </row>
    <row r="580" spans="1:17" x14ac:dyDescent="0.2">
      <c r="A580">
        <f t="shared" ref="A580:A643" si="132">A579+1</f>
        <v>579</v>
      </c>
      <c r="B580">
        <f t="shared" si="124"/>
        <v>157.89473684210526</v>
      </c>
      <c r="C580">
        <f t="shared" ref="C580:C643" si="133">C579+1000</f>
        <v>579000</v>
      </c>
      <c r="E580" t="s">
        <v>11</v>
      </c>
      <c r="F580">
        <v>10.084940830000001</v>
      </c>
      <c r="G580">
        <v>43.429000000000002</v>
      </c>
      <c r="H580">
        <f t="shared" si="125"/>
        <v>0.23221674065716458</v>
      </c>
      <c r="I580">
        <v>532.04238750000002</v>
      </c>
      <c r="J580">
        <f t="shared" si="126"/>
        <v>2291.1457029081548</v>
      </c>
      <c r="K580" s="1">
        <v>2.65E-6</v>
      </c>
      <c r="L580" s="1">
        <f t="shared" si="127"/>
        <v>6979.6765366086165</v>
      </c>
      <c r="M580" s="1">
        <f t="shared" si="128"/>
        <v>61141966.460691482</v>
      </c>
      <c r="N580">
        <f t="shared" si="129"/>
        <v>7.993267963794837E+37</v>
      </c>
      <c r="O580">
        <v>26.93506691</v>
      </c>
      <c r="P580" s="1">
        <f t="shared" si="130"/>
        <v>5.5790424857724153E+41</v>
      </c>
      <c r="Q580" s="1">
        <f t="shared" si="131"/>
        <v>2.0712933457392385E+40</v>
      </c>
    </row>
    <row r="581" spans="1:17" x14ac:dyDescent="0.2">
      <c r="A581">
        <f t="shared" si="132"/>
        <v>580</v>
      </c>
      <c r="B581">
        <f t="shared" si="124"/>
        <v>157.89473684210526</v>
      </c>
      <c r="C581">
        <f t="shared" si="133"/>
        <v>580000</v>
      </c>
      <c r="E581" t="s">
        <v>11</v>
      </c>
      <c r="F581">
        <v>9.9327607409999992</v>
      </c>
      <c r="G581">
        <v>43.429000000000002</v>
      </c>
      <c r="H581">
        <f t="shared" si="125"/>
        <v>0.22871262845103499</v>
      </c>
      <c r="I581">
        <v>2145.048581</v>
      </c>
      <c r="J581">
        <f t="shared" si="126"/>
        <v>9378.7937969469531</v>
      </c>
      <c r="K581" s="1">
        <v>2.79E-6</v>
      </c>
      <c r="L581" s="1">
        <f t="shared" si="127"/>
        <v>6430.8770536389056</v>
      </c>
      <c r="M581" s="1">
        <f t="shared" si="128"/>
        <v>56334482.989876814</v>
      </c>
      <c r="N581">
        <f t="shared" si="129"/>
        <v>9.0178941827911858E+154</v>
      </c>
      <c r="O581">
        <v>28.67244526</v>
      </c>
      <c r="P581" s="1">
        <f t="shared" si="130"/>
        <v>5.7992968772255603E+158</v>
      </c>
      <c r="Q581" s="1">
        <f t="shared" si="131"/>
        <v>2.0226028246415284E+157</v>
      </c>
    </row>
    <row r="582" spans="1:17" x14ac:dyDescent="0.2">
      <c r="A582">
        <f t="shared" si="132"/>
        <v>581</v>
      </c>
      <c r="B582">
        <f t="shared" ref="B582:B585" si="134">3000/18</f>
        <v>166.66666666666666</v>
      </c>
      <c r="C582">
        <f t="shared" si="133"/>
        <v>581000</v>
      </c>
      <c r="E582" t="s">
        <v>11</v>
      </c>
      <c r="F582">
        <v>9.9083164069999992</v>
      </c>
      <c r="G582">
        <v>43.429000000000002</v>
      </c>
      <c r="H582">
        <f t="shared" si="125"/>
        <v>0.22814977105160145</v>
      </c>
      <c r="I582">
        <v>2409.32123</v>
      </c>
      <c r="J582">
        <f t="shared" si="126"/>
        <v>10560.261440959655</v>
      </c>
      <c r="K582" s="1">
        <v>2.8100000000000002E-6</v>
      </c>
      <c r="L582" s="1">
        <f t="shared" si="127"/>
        <v>6353.7171119566083</v>
      </c>
      <c r="M582" s="1">
        <f t="shared" si="128"/>
        <v>55658561.900739886</v>
      </c>
      <c r="N582">
        <f t="shared" si="129"/>
        <v>2.9310418577881016E+174</v>
      </c>
      <c r="O582">
        <v>28.14400852</v>
      </c>
      <c r="P582" s="1">
        <f t="shared" si="130"/>
        <v>1.8623010807689347E+178</v>
      </c>
      <c r="Q582" s="1">
        <f t="shared" si="131"/>
        <v>6.6170427693181162E+176</v>
      </c>
    </row>
    <row r="583" spans="1:17" x14ac:dyDescent="0.2">
      <c r="A583">
        <f t="shared" si="132"/>
        <v>582</v>
      </c>
      <c r="B583">
        <f t="shared" si="134"/>
        <v>166.66666666666666</v>
      </c>
      <c r="C583">
        <f t="shared" si="133"/>
        <v>582000</v>
      </c>
      <c r="E583" t="s">
        <v>11</v>
      </c>
      <c r="F583">
        <v>9.857797755</v>
      </c>
      <c r="G583">
        <v>43.429000000000002</v>
      </c>
      <c r="H583">
        <f t="shared" si="125"/>
        <v>0.22698652409680167</v>
      </c>
      <c r="I583">
        <v>1513.7857329999999</v>
      </c>
      <c r="J583">
        <f t="shared" si="126"/>
        <v>6669.0555266374504</v>
      </c>
      <c r="K583" s="1">
        <v>2.8600000000000001E-6</v>
      </c>
      <c r="L583" s="1">
        <f t="shared" si="127"/>
        <v>6179.142855835993</v>
      </c>
      <c r="M583" s="1">
        <f t="shared" si="128"/>
        <v>54129291.417123295</v>
      </c>
      <c r="N583">
        <f t="shared" si="129"/>
        <v>1.598918584312913E+110</v>
      </c>
      <c r="O583">
        <v>28.151611920000001</v>
      </c>
      <c r="P583" s="1">
        <f t="shared" si="130"/>
        <v>9.8799463473205371E+113</v>
      </c>
      <c r="Q583" s="1">
        <f t="shared" si="131"/>
        <v>3.5095490714339661E+112</v>
      </c>
    </row>
    <row r="584" spans="1:17" x14ac:dyDescent="0.2">
      <c r="A584">
        <f t="shared" si="132"/>
        <v>583</v>
      </c>
      <c r="B584">
        <f t="shared" si="134"/>
        <v>166.66666666666666</v>
      </c>
      <c r="C584">
        <f t="shared" si="133"/>
        <v>583000</v>
      </c>
      <c r="E584" t="s">
        <v>11</v>
      </c>
      <c r="F584">
        <v>12.25955559</v>
      </c>
      <c r="G584">
        <v>43.429000000000002</v>
      </c>
      <c r="H584">
        <f t="shared" si="125"/>
        <v>0.28228961270119041</v>
      </c>
      <c r="I584">
        <v>2553.4272850000002</v>
      </c>
      <c r="J584">
        <f t="shared" si="126"/>
        <v>9045.4170827137641</v>
      </c>
      <c r="K584" s="1">
        <v>1.4699999999999999E-6</v>
      </c>
      <c r="L584" s="1">
        <f t="shared" si="127"/>
        <v>18593.732602430555</v>
      </c>
      <c r="M584" s="1">
        <f t="shared" si="128"/>
        <v>162881097.59729165</v>
      </c>
      <c r="N584">
        <f t="shared" si="129"/>
        <v>2.8144575132929832E+149</v>
      </c>
      <c r="O584">
        <v>7.5273722630000002</v>
      </c>
      <c r="P584" s="1">
        <f t="shared" si="130"/>
        <v>5.2331270423071368E+153</v>
      </c>
      <c r="Q584" s="1">
        <f t="shared" si="131"/>
        <v>6.9521299856923748E+152</v>
      </c>
    </row>
    <row r="585" spans="1:17" x14ac:dyDescent="0.2">
      <c r="A585">
        <f t="shared" si="132"/>
        <v>584</v>
      </c>
      <c r="B585">
        <f t="shared" si="134"/>
        <v>166.66666666666666</v>
      </c>
      <c r="C585">
        <f t="shared" si="133"/>
        <v>584000</v>
      </c>
      <c r="E585" t="s">
        <v>11</v>
      </c>
      <c r="F585">
        <v>12.58102938</v>
      </c>
      <c r="G585">
        <v>43.429000000000002</v>
      </c>
      <c r="H585">
        <f t="shared" si="125"/>
        <v>0.28969189665891454</v>
      </c>
      <c r="I585">
        <v>2273.3479900000002</v>
      </c>
      <c r="J585">
        <f t="shared" si="126"/>
        <v>7847.4683490255084</v>
      </c>
      <c r="K585" s="1">
        <v>1.37E-6</v>
      </c>
      <c r="L585" s="1">
        <f t="shared" si="127"/>
        <v>21010.976993806464</v>
      </c>
      <c r="M585" s="1">
        <f t="shared" si="128"/>
        <v>184056158.46574461</v>
      </c>
      <c r="N585">
        <f t="shared" si="129"/>
        <v>4.6269298153107079E+129</v>
      </c>
      <c r="O585">
        <v>7.3372871049999997</v>
      </c>
      <c r="P585" s="1">
        <f t="shared" si="130"/>
        <v>9.7216315901450468E+133</v>
      </c>
      <c r="Q585" s="1">
        <f t="shared" si="131"/>
        <v>1.3249626804872109E+133</v>
      </c>
    </row>
    <row r="586" spans="1:17" x14ac:dyDescent="0.2">
      <c r="A586">
        <f t="shared" si="132"/>
        <v>585</v>
      </c>
      <c r="B586">
        <f t="shared" ref="B586:B590" si="135">3000/18</f>
        <v>166.66666666666666</v>
      </c>
      <c r="C586">
        <f t="shared" si="133"/>
        <v>585000</v>
      </c>
      <c r="E586" t="s">
        <v>11</v>
      </c>
      <c r="F586">
        <v>12.741926360000001</v>
      </c>
      <c r="G586">
        <v>43.429000000000002</v>
      </c>
      <c r="H586">
        <f t="shared" si="125"/>
        <v>0.29339672476916345</v>
      </c>
      <c r="I586">
        <v>1428.3532270000001</v>
      </c>
      <c r="J586">
        <f t="shared" si="126"/>
        <v>4868.333919282124</v>
      </c>
      <c r="K586" s="1">
        <v>1.3200000000000001E-6</v>
      </c>
      <c r="L586" s="1">
        <f t="shared" si="127"/>
        <v>22368.183234930591</v>
      </c>
      <c r="M586" s="1">
        <f t="shared" si="128"/>
        <v>195945285.13799199</v>
      </c>
      <c r="N586">
        <f t="shared" si="129"/>
        <v>2.9170333933078608E+80</v>
      </c>
      <c r="O586">
        <v>7.0559610709999996</v>
      </c>
      <c r="P586" s="1">
        <f t="shared" si="130"/>
        <v>6.5248737443921583E+84</v>
      </c>
      <c r="Q586" s="1">
        <f t="shared" si="131"/>
        <v>9.2473210647510368E+83</v>
      </c>
    </row>
    <row r="587" spans="1:17" x14ac:dyDescent="0.2">
      <c r="A587">
        <f t="shared" si="132"/>
        <v>586</v>
      </c>
      <c r="B587">
        <f t="shared" si="135"/>
        <v>166.66666666666666</v>
      </c>
      <c r="C587">
        <f t="shared" si="133"/>
        <v>586000</v>
      </c>
      <c r="E587" t="s">
        <v>11</v>
      </c>
      <c r="F587">
        <v>12.85888649</v>
      </c>
      <c r="G587">
        <v>43.429000000000002</v>
      </c>
      <c r="H587">
        <f t="shared" si="125"/>
        <v>0.29608985908033802</v>
      </c>
      <c r="I587">
        <v>711.36119550000001</v>
      </c>
      <c r="J587">
        <f t="shared" si="126"/>
        <v>2402.5179305684578</v>
      </c>
      <c r="K587" s="1">
        <v>1.2899999999999999E-6</v>
      </c>
      <c r="L587" s="1">
        <f t="shared" si="127"/>
        <v>23310.493949630662</v>
      </c>
      <c r="M587" s="1">
        <f t="shared" si="128"/>
        <v>204199926.9987646</v>
      </c>
      <c r="N587">
        <f t="shared" si="129"/>
        <v>5.5212156271134386E+39</v>
      </c>
      <c r="O587">
        <v>5.5809002430000003</v>
      </c>
      <c r="P587" s="1">
        <f t="shared" si="130"/>
        <v>1.2870226347043407E+44</v>
      </c>
      <c r="Q587" s="1">
        <f t="shared" si="131"/>
        <v>2.3061201216033645E+43</v>
      </c>
    </row>
    <row r="588" spans="1:17" x14ac:dyDescent="0.2">
      <c r="A588">
        <f t="shared" si="132"/>
        <v>587</v>
      </c>
      <c r="B588">
        <f t="shared" si="135"/>
        <v>166.66666666666666</v>
      </c>
      <c r="C588">
        <f t="shared" si="133"/>
        <v>587000</v>
      </c>
      <c r="E588" t="s">
        <v>11</v>
      </c>
      <c r="F588">
        <v>12.97992301</v>
      </c>
      <c r="G588">
        <v>43.429000000000002</v>
      </c>
      <c r="H588">
        <f t="shared" si="125"/>
        <v>0.29887685670865088</v>
      </c>
      <c r="I588">
        <v>421.72668670000002</v>
      </c>
      <c r="J588">
        <f t="shared" si="126"/>
        <v>1411.0382829377277</v>
      </c>
      <c r="K588" s="1">
        <v>1.26E-6</v>
      </c>
      <c r="L588" s="1">
        <f t="shared" si="127"/>
        <v>24316.896657367379</v>
      </c>
      <c r="M588" s="1">
        <f t="shared" si="128"/>
        <v>213016014.71853822</v>
      </c>
      <c r="N588">
        <f t="shared" si="129"/>
        <v>2.332202009113745E+23</v>
      </c>
      <c r="O588">
        <v>4.5050182479999998</v>
      </c>
      <c r="P588" s="1">
        <f t="shared" si="130"/>
        <v>5.6711915239723512E+27</v>
      </c>
      <c r="Q588" s="1">
        <f t="shared" si="131"/>
        <v>1.2588609439018527E+27</v>
      </c>
    </row>
    <row r="589" spans="1:17" x14ac:dyDescent="0.2">
      <c r="A589">
        <f t="shared" si="132"/>
        <v>588</v>
      </c>
      <c r="B589">
        <f t="shared" si="135"/>
        <v>166.66666666666666</v>
      </c>
      <c r="C589">
        <f t="shared" si="133"/>
        <v>588000</v>
      </c>
      <c r="E589" t="s">
        <v>11</v>
      </c>
      <c r="F589">
        <v>12.93661857</v>
      </c>
      <c r="G589">
        <v>43.429000000000002</v>
      </c>
      <c r="H589">
        <f t="shared" si="125"/>
        <v>0.29787972483824171</v>
      </c>
      <c r="I589">
        <v>563.86484810000002</v>
      </c>
      <c r="J589">
        <f t="shared" si="126"/>
        <v>1892.927920509517</v>
      </c>
      <c r="K589" s="1">
        <v>1.2699999999999999E-6</v>
      </c>
      <c r="L589" s="1">
        <f t="shared" si="127"/>
        <v>23964.716024495563</v>
      </c>
      <c r="M589" s="1">
        <f t="shared" si="128"/>
        <v>209930912.37458113</v>
      </c>
      <c r="N589">
        <f t="shared" si="129"/>
        <v>2.1191654275962654E+31</v>
      </c>
      <c r="O589">
        <v>3.9955900240000002</v>
      </c>
      <c r="P589" s="1">
        <f t="shared" si="130"/>
        <v>5.0785197681273217E+35</v>
      </c>
      <c r="Q589" s="1">
        <f t="shared" si="131"/>
        <v>1.271031246354749E+35</v>
      </c>
    </row>
    <row r="590" spans="1:17" x14ac:dyDescent="0.2">
      <c r="A590">
        <f t="shared" si="132"/>
        <v>589</v>
      </c>
      <c r="B590">
        <f t="shared" si="135"/>
        <v>166.66666666666666</v>
      </c>
      <c r="C590">
        <f t="shared" si="133"/>
        <v>589000</v>
      </c>
      <c r="E590" t="s">
        <v>11</v>
      </c>
      <c r="F590">
        <v>12.874308559999999</v>
      </c>
      <c r="G590">
        <v>43.429000000000002</v>
      </c>
      <c r="H590">
        <f t="shared" si="125"/>
        <v>0.29644496902991085</v>
      </c>
      <c r="I590">
        <v>354.27843819999998</v>
      </c>
      <c r="J590">
        <f t="shared" si="126"/>
        <v>1195.0900680127711</v>
      </c>
      <c r="K590" s="1">
        <v>1.2899999999999999E-6</v>
      </c>
      <c r="L590" s="1">
        <f t="shared" si="127"/>
        <v>23366.441507332307</v>
      </c>
      <c r="M590" s="1">
        <f t="shared" si="128"/>
        <v>204690027.604231</v>
      </c>
      <c r="N590">
        <f t="shared" si="129"/>
        <v>6.3297313914140058E+19</v>
      </c>
      <c r="O590">
        <v>3.672445255</v>
      </c>
      <c r="P590" s="1">
        <f t="shared" si="130"/>
        <v>1.479032983146005E+24</v>
      </c>
      <c r="Q590" s="1">
        <f t="shared" si="131"/>
        <v>4.0273792540060751E+23</v>
      </c>
    </row>
    <row r="591" spans="1:17" x14ac:dyDescent="0.2">
      <c r="A591">
        <f t="shared" si="132"/>
        <v>590</v>
      </c>
      <c r="B591">
        <f t="shared" ref="B591:B600" si="136">3000/18</f>
        <v>166.66666666666666</v>
      </c>
      <c r="C591">
        <f t="shared" si="133"/>
        <v>590000</v>
      </c>
      <c r="E591" t="s">
        <v>11</v>
      </c>
      <c r="F591">
        <v>12.67565183</v>
      </c>
      <c r="G591">
        <v>43.429000000000002</v>
      </c>
      <c r="H591">
        <f t="shared" si="125"/>
        <v>0.29187068157222129</v>
      </c>
      <c r="I591">
        <v>1008.005486</v>
      </c>
      <c r="J591">
        <f t="shared" si="126"/>
        <v>3453.6030839759983</v>
      </c>
      <c r="K591" s="1">
        <v>1.3400000000000001E-6</v>
      </c>
      <c r="L591" s="1">
        <f t="shared" si="127"/>
        <v>21805.711718784718</v>
      </c>
      <c r="M591" s="1">
        <f t="shared" si="128"/>
        <v>191018034.65655413</v>
      </c>
      <c r="N591">
        <f t="shared" si="129"/>
        <v>1.2609187636640715E+57</v>
      </c>
      <c r="O591">
        <v>3.2390510950000002</v>
      </c>
      <c r="P591" s="1">
        <f t="shared" si="130"/>
        <v>2.7495231061265184E+61</v>
      </c>
      <c r="Q591" s="1">
        <f t="shared" si="131"/>
        <v>8.4886685189092961E+60</v>
      </c>
    </row>
    <row r="592" spans="1:17" x14ac:dyDescent="0.2">
      <c r="A592">
        <f t="shared" si="132"/>
        <v>591</v>
      </c>
      <c r="B592">
        <f t="shared" si="136"/>
        <v>166.66666666666666</v>
      </c>
      <c r="C592">
        <f t="shared" si="133"/>
        <v>591000</v>
      </c>
      <c r="E592" t="s">
        <v>11</v>
      </c>
      <c r="F592">
        <v>12.387616</v>
      </c>
      <c r="G592">
        <v>43.429000000000002</v>
      </c>
      <c r="H592">
        <f t="shared" si="125"/>
        <v>0.28523834304266732</v>
      </c>
      <c r="I592">
        <v>2145.048581</v>
      </c>
      <c r="J592">
        <f t="shared" si="126"/>
        <v>7520.1971730677642</v>
      </c>
      <c r="K592" s="1">
        <v>1.4300000000000001E-6</v>
      </c>
      <c r="L592" s="1">
        <f t="shared" si="127"/>
        <v>19515.239813435066</v>
      </c>
      <c r="M592" s="1">
        <f t="shared" si="128"/>
        <v>170953500.76569119</v>
      </c>
      <c r="N592">
        <f t="shared" si="129"/>
        <v>1.8214419248687543E+124</v>
      </c>
      <c r="O592">
        <v>8.021593674</v>
      </c>
      <c r="P592" s="1">
        <f t="shared" si="130"/>
        <v>3.5545875970058515E+128</v>
      </c>
      <c r="Q592" s="1">
        <f t="shared" si="131"/>
        <v>4.431273561670373E+127</v>
      </c>
    </row>
    <row r="593" spans="1:17" x14ac:dyDescent="0.2">
      <c r="A593">
        <f t="shared" si="132"/>
        <v>592</v>
      </c>
      <c r="B593">
        <f t="shared" si="136"/>
        <v>166.66666666666666</v>
      </c>
      <c r="C593">
        <f t="shared" si="133"/>
        <v>592000</v>
      </c>
      <c r="E593" t="s">
        <v>11</v>
      </c>
      <c r="F593">
        <v>12.220800779999999</v>
      </c>
      <c r="G593">
        <v>43.429000000000002</v>
      </c>
      <c r="H593">
        <f t="shared" si="125"/>
        <v>0.28139724101406893</v>
      </c>
      <c r="I593">
        <v>532.04238750000002</v>
      </c>
      <c r="J593">
        <f t="shared" si="126"/>
        <v>1890.7164319830686</v>
      </c>
      <c r="K593" s="1">
        <v>1.4899999999999999E-6</v>
      </c>
      <c r="L593" s="1">
        <f t="shared" si="127"/>
        <v>18228.356836820938</v>
      </c>
      <c r="M593" s="1">
        <f t="shared" si="128"/>
        <v>159680405.89055142</v>
      </c>
      <c r="N593">
        <f t="shared" si="129"/>
        <v>1.9482387045146076E+31</v>
      </c>
      <c r="O593">
        <v>7.173813869</v>
      </c>
      <c r="P593" s="1">
        <f t="shared" si="130"/>
        <v>3.5513190309198012E+35</v>
      </c>
      <c r="Q593" s="1">
        <f t="shared" si="131"/>
        <v>4.9503919334539977E+34</v>
      </c>
    </row>
    <row r="594" spans="1:17" x14ac:dyDescent="0.2">
      <c r="A594">
        <f t="shared" si="132"/>
        <v>593</v>
      </c>
      <c r="B594">
        <f t="shared" si="136"/>
        <v>166.66666666666666</v>
      </c>
      <c r="C594">
        <f t="shared" si="133"/>
        <v>593000</v>
      </c>
      <c r="E594" t="s">
        <v>11</v>
      </c>
      <c r="F594">
        <v>12.144763230000001</v>
      </c>
      <c r="G594">
        <v>43.429000000000002</v>
      </c>
      <c r="H594">
        <f t="shared" si="125"/>
        <v>0.27964639365401001</v>
      </c>
      <c r="I594">
        <v>1428.3532270000001</v>
      </c>
      <c r="J594">
        <f t="shared" si="126"/>
        <v>5107.7119512837962</v>
      </c>
      <c r="K594" s="1">
        <v>1.5099999999999999E-6</v>
      </c>
      <c r="L594" s="1">
        <f t="shared" si="127"/>
        <v>17763.789523779393</v>
      </c>
      <c r="M594" s="1">
        <f t="shared" si="128"/>
        <v>155610796.22830749</v>
      </c>
      <c r="N594">
        <f t="shared" si="129"/>
        <v>2.6197828380610206E+84</v>
      </c>
      <c r="O594">
        <v>6.9609184910000002</v>
      </c>
      <c r="P594" s="1">
        <f t="shared" si="130"/>
        <v>4.6537270933325402E+88</v>
      </c>
      <c r="Q594" s="1">
        <f t="shared" si="131"/>
        <v>6.6855072349281157E+87</v>
      </c>
    </row>
    <row r="595" spans="1:17" x14ac:dyDescent="0.2">
      <c r="A595">
        <f t="shared" si="132"/>
        <v>594</v>
      </c>
      <c r="B595">
        <f t="shared" si="136"/>
        <v>166.66666666666666</v>
      </c>
      <c r="C595">
        <f t="shared" si="133"/>
        <v>594000</v>
      </c>
      <c r="E595" t="s">
        <v>11</v>
      </c>
      <c r="F595">
        <v>11.880304860000001</v>
      </c>
      <c r="G595">
        <v>43.429000000000002</v>
      </c>
      <c r="H595">
        <f t="shared" si="125"/>
        <v>0.27355695180639666</v>
      </c>
      <c r="I595">
        <v>671.21458289999998</v>
      </c>
      <c r="J595">
        <f t="shared" si="126"/>
        <v>2453.6557322624208</v>
      </c>
      <c r="K595" s="1">
        <v>1.61E-6</v>
      </c>
      <c r="L595" s="1">
        <f t="shared" si="127"/>
        <v>15942.769079125019</v>
      </c>
      <c r="M595" s="1">
        <f t="shared" si="128"/>
        <v>139658657.13313517</v>
      </c>
      <c r="N595">
        <f t="shared" si="129"/>
        <v>3.8598869362504237E+40</v>
      </c>
      <c r="O595">
        <v>7.2764598539999996</v>
      </c>
      <c r="P595" s="1">
        <f t="shared" si="130"/>
        <v>6.1537286096171862E+44</v>
      </c>
      <c r="Q595" s="1">
        <f t="shared" si="131"/>
        <v>8.4570364340488624E+43</v>
      </c>
    </row>
    <row r="596" spans="1:17" x14ac:dyDescent="0.2">
      <c r="A596">
        <f t="shared" si="132"/>
        <v>595</v>
      </c>
      <c r="B596">
        <f t="shared" si="136"/>
        <v>166.66666666666666</v>
      </c>
      <c r="C596">
        <f t="shared" si="133"/>
        <v>595000</v>
      </c>
      <c r="E596" t="s">
        <v>11</v>
      </c>
      <c r="F596">
        <v>11.805237269999999</v>
      </c>
      <c r="G596">
        <v>43.429000000000002</v>
      </c>
      <c r="H596">
        <f t="shared" si="125"/>
        <v>0.27182843883119573</v>
      </c>
      <c r="I596">
        <v>951.11735910000004</v>
      </c>
      <c r="J596">
        <f t="shared" si="126"/>
        <v>3498.9619305088227</v>
      </c>
      <c r="K596" s="1">
        <v>1.64E-6</v>
      </c>
      <c r="L596" s="1">
        <f t="shared" si="127"/>
        <v>15453.969606091438</v>
      </c>
      <c r="M596" s="1">
        <f t="shared" si="128"/>
        <v>135376773.74936098</v>
      </c>
      <c r="N596">
        <f t="shared" si="129"/>
        <v>7.0759970299088069E+57</v>
      </c>
      <c r="O596">
        <v>7.2574513380000001</v>
      </c>
      <c r="P596" s="1">
        <f t="shared" si="130"/>
        <v>1.0935224303300398E+62</v>
      </c>
      <c r="Q596" s="1">
        <f t="shared" si="131"/>
        <v>1.5067581984385602E+61</v>
      </c>
    </row>
    <row r="597" spans="1:17" x14ac:dyDescent="0.2">
      <c r="A597">
        <f t="shared" si="132"/>
        <v>596</v>
      </c>
      <c r="B597">
        <f t="shared" si="136"/>
        <v>166.66666666666666</v>
      </c>
      <c r="C597">
        <f t="shared" si="133"/>
        <v>596000</v>
      </c>
      <c r="E597" t="s">
        <v>11</v>
      </c>
      <c r="F597">
        <v>11.763215669999999</v>
      </c>
      <c r="G597">
        <v>43.429000000000002</v>
      </c>
      <c r="H597">
        <f t="shared" si="125"/>
        <v>0.27086084574823271</v>
      </c>
      <c r="I597">
        <v>897.43978930000003</v>
      </c>
      <c r="J597">
        <f t="shared" si="126"/>
        <v>3313.2872594445689</v>
      </c>
      <c r="K597" s="1">
        <v>1.66E-6</v>
      </c>
      <c r="L597" s="1">
        <f t="shared" si="127"/>
        <v>15159.277127403999</v>
      </c>
      <c r="M597" s="1">
        <f t="shared" si="128"/>
        <v>132795267.63605903</v>
      </c>
      <c r="N597">
        <f t="shared" si="129"/>
        <v>6.0725876178263865E+54</v>
      </c>
      <c r="O597">
        <v>7.3334854009999999</v>
      </c>
      <c r="P597" s="1">
        <f t="shared" si="130"/>
        <v>9.2056038579072275E+58</v>
      </c>
      <c r="Q597" s="1">
        <f t="shared" si="131"/>
        <v>1.2552835867992516E+58</v>
      </c>
    </row>
    <row r="598" spans="1:17" x14ac:dyDescent="0.2">
      <c r="A598">
        <f t="shared" si="132"/>
        <v>597</v>
      </c>
      <c r="B598">
        <f t="shared" si="136"/>
        <v>166.66666666666666</v>
      </c>
      <c r="C598">
        <f t="shared" si="133"/>
        <v>597000</v>
      </c>
      <c r="E598" t="s">
        <v>11</v>
      </c>
      <c r="F598">
        <v>11.57147855</v>
      </c>
      <c r="G598">
        <v>43.429000000000002</v>
      </c>
      <c r="H598">
        <f t="shared" si="125"/>
        <v>0.26644588984319234</v>
      </c>
      <c r="I598">
        <v>532.04238750000002</v>
      </c>
      <c r="J598">
        <f t="shared" si="126"/>
        <v>1996.8121400300656</v>
      </c>
      <c r="K598" s="1">
        <v>1.7400000000000001E-6</v>
      </c>
      <c r="L598" s="1">
        <f t="shared" si="127"/>
        <v>13994.678384778961</v>
      </c>
      <c r="M598" s="1">
        <f t="shared" si="128"/>
        <v>122593382.6506637</v>
      </c>
      <c r="N598">
        <f t="shared" si="129"/>
        <v>1.1010597237726258E+33</v>
      </c>
      <c r="O598">
        <v>7.6224148420000004</v>
      </c>
      <c r="P598" s="1">
        <f t="shared" si="130"/>
        <v>1.5408976716631461E+37</v>
      </c>
      <c r="Q598" s="1">
        <f t="shared" si="131"/>
        <v>2.021534780779314E+36</v>
      </c>
    </row>
    <row r="599" spans="1:17" x14ac:dyDescent="0.2">
      <c r="A599">
        <f t="shared" si="132"/>
        <v>598</v>
      </c>
      <c r="B599">
        <f t="shared" si="136"/>
        <v>166.66666666666666</v>
      </c>
      <c r="C599">
        <f t="shared" si="133"/>
        <v>598000</v>
      </c>
      <c r="E599" t="s">
        <v>11</v>
      </c>
      <c r="F599">
        <v>11.401348280000001</v>
      </c>
      <c r="G599">
        <v>43.429000000000002</v>
      </c>
      <c r="H599">
        <f t="shared" si="125"/>
        <v>0.26252845517971862</v>
      </c>
      <c r="I599">
        <v>1801.9833349999999</v>
      </c>
      <c r="J599">
        <f t="shared" si="126"/>
        <v>6863.954361695457</v>
      </c>
      <c r="K599" s="1">
        <v>1.8199999999999999E-6</v>
      </c>
      <c r="L599" s="1">
        <f t="shared" si="127"/>
        <v>12988.993458359335</v>
      </c>
      <c r="M599" s="1">
        <f t="shared" si="128"/>
        <v>113783582.69522777</v>
      </c>
      <c r="N599">
        <f t="shared" si="129"/>
        <v>2.6459224124177573E+113</v>
      </c>
      <c r="O599">
        <v>7.8733272510000001</v>
      </c>
      <c r="P599" s="1">
        <f t="shared" si="130"/>
        <v>3.4367868906220598E+117</v>
      </c>
      <c r="Q599" s="1">
        <f t="shared" si="131"/>
        <v>4.3651010316960338E+116</v>
      </c>
    </row>
    <row r="600" spans="1:17" x14ac:dyDescent="0.2">
      <c r="A600">
        <f t="shared" si="132"/>
        <v>599</v>
      </c>
      <c r="B600">
        <f t="shared" si="136"/>
        <v>166.66666666666666</v>
      </c>
      <c r="C600">
        <f t="shared" si="133"/>
        <v>599000</v>
      </c>
      <c r="E600" t="s">
        <v>11</v>
      </c>
      <c r="F600">
        <v>11.30742478</v>
      </c>
      <c r="G600">
        <v>43.429000000000002</v>
      </c>
      <c r="H600">
        <f t="shared" si="125"/>
        <v>0.26036576435100967</v>
      </c>
      <c r="I600">
        <v>1700.2860149999999</v>
      </c>
      <c r="J600">
        <f t="shared" si="126"/>
        <v>6530.3747565973199</v>
      </c>
      <c r="K600" s="1">
        <v>1.86E-6</v>
      </c>
      <c r="L600" s="1">
        <f t="shared" si="127"/>
        <v>12501.120224412542</v>
      </c>
      <c r="M600" s="1">
        <f t="shared" si="128"/>
        <v>109509813.16585386</v>
      </c>
      <c r="N600">
        <f t="shared" si="129"/>
        <v>8.1943767616539092E+107</v>
      </c>
      <c r="O600">
        <v>8.2002737230000005</v>
      </c>
      <c r="P600" s="1">
        <f t="shared" si="130"/>
        <v>1.0243888906156783E+112</v>
      </c>
      <c r="Q600" s="1">
        <f t="shared" si="131"/>
        <v>1.2492130448554276E+111</v>
      </c>
    </row>
    <row r="601" spans="1:17" x14ac:dyDescent="0.2">
      <c r="A601">
        <f t="shared" si="132"/>
        <v>600</v>
      </c>
      <c r="B601">
        <f>3000/18</f>
        <v>166.66666666666666</v>
      </c>
      <c r="C601">
        <f t="shared" si="133"/>
        <v>600000</v>
      </c>
      <c r="E601" t="s">
        <v>11</v>
      </c>
      <c r="F601">
        <v>11.317389199999999</v>
      </c>
      <c r="G601">
        <v>43.429000000000002</v>
      </c>
      <c r="H601">
        <f t="shared" si="125"/>
        <v>0.26059520596836211</v>
      </c>
      <c r="I601">
        <v>3221.355423</v>
      </c>
      <c r="J601">
        <f t="shared" si="126"/>
        <v>12361.529871701065</v>
      </c>
      <c r="K601" s="1">
        <v>1.86E-6</v>
      </c>
      <c r="L601" s="1">
        <f t="shared" si="127"/>
        <v>12523.16260815953</v>
      </c>
      <c r="M601" s="1">
        <f t="shared" si="128"/>
        <v>109702904.44747747</v>
      </c>
      <c r="N601">
        <f t="shared" si="129"/>
        <v>1.6403546289971332E+204</v>
      </c>
      <c r="O601">
        <v>8.2915145989999992</v>
      </c>
      <c r="P601" s="1">
        <f t="shared" si="130"/>
        <v>2.0542427753978296E+208</v>
      </c>
      <c r="Q601" s="1">
        <f t="shared" si="131"/>
        <v>2.4775241614428108E+207</v>
      </c>
    </row>
    <row r="602" spans="1:17" x14ac:dyDescent="0.2">
      <c r="A602">
        <f t="shared" si="132"/>
        <v>601</v>
      </c>
      <c r="B602">
        <f t="shared" ref="B602:B650" si="137">3000/18</f>
        <v>166.66666666666666</v>
      </c>
      <c r="C602">
        <f t="shared" si="133"/>
        <v>601000</v>
      </c>
      <c r="E602" t="s">
        <v>11</v>
      </c>
      <c r="F602">
        <v>11.36677673</v>
      </c>
      <c r="G602">
        <v>43.429000000000002</v>
      </c>
      <c r="H602">
        <f t="shared" si="125"/>
        <v>0.26173240760781963</v>
      </c>
      <c r="I602">
        <v>532.04238750000002</v>
      </c>
      <c r="J602">
        <f t="shared" si="126"/>
        <v>2032.7722973351217</v>
      </c>
      <c r="K602" s="1">
        <v>1.8300000000000001E-6</v>
      </c>
      <c r="L602" s="1">
        <f t="shared" si="127"/>
        <v>12839.793248590024</v>
      </c>
      <c r="M602" s="1">
        <f t="shared" si="128"/>
        <v>112476588.85764861</v>
      </c>
      <c r="N602">
        <f t="shared" si="129"/>
        <v>4.3220742911364701E+33</v>
      </c>
      <c r="O602">
        <v>8.7705291970000001</v>
      </c>
      <c r="P602" s="1">
        <f t="shared" si="130"/>
        <v>5.5494540303238561E+37</v>
      </c>
      <c r="Q602" s="1">
        <f t="shared" si="131"/>
        <v>6.3273878983517581E+36</v>
      </c>
    </row>
    <row r="603" spans="1:17" x14ac:dyDescent="0.2">
      <c r="A603">
        <f t="shared" si="132"/>
        <v>602</v>
      </c>
      <c r="B603">
        <f t="shared" si="137"/>
        <v>166.66666666666666</v>
      </c>
      <c r="C603">
        <f t="shared" si="133"/>
        <v>602000</v>
      </c>
      <c r="E603" t="s">
        <v>11</v>
      </c>
      <c r="F603">
        <v>11.47637544</v>
      </c>
      <c r="G603">
        <v>43.429000000000002</v>
      </c>
      <c r="H603">
        <f t="shared" si="125"/>
        <v>0.26425603721015911</v>
      </c>
      <c r="I603">
        <v>897.43978930000003</v>
      </c>
      <c r="J603">
        <f t="shared" si="126"/>
        <v>3396.0994752459669</v>
      </c>
      <c r="K603" s="1">
        <v>1.7799999999999999E-6</v>
      </c>
      <c r="L603" s="1">
        <f t="shared" si="127"/>
        <v>13456.247105781928</v>
      </c>
      <c r="M603" s="1">
        <f t="shared" si="128"/>
        <v>117876724.64664969</v>
      </c>
      <c r="N603">
        <f t="shared" si="129"/>
        <v>1.4158460835767926E+56</v>
      </c>
      <c r="O603">
        <v>9.1430961069999999</v>
      </c>
      <c r="P603" s="1">
        <f t="shared" si="130"/>
        <v>1.9051974764362893E+60</v>
      </c>
      <c r="Q603" s="1">
        <f t="shared" si="131"/>
        <v>2.0837552773591218E+59</v>
      </c>
    </row>
    <row r="604" spans="1:17" x14ac:dyDescent="0.2">
      <c r="A604">
        <f t="shared" si="132"/>
        <v>603</v>
      </c>
      <c r="B604">
        <f t="shared" si="137"/>
        <v>166.66666666666666</v>
      </c>
      <c r="C604">
        <f t="shared" si="133"/>
        <v>603000</v>
      </c>
      <c r="E604" t="s">
        <v>11</v>
      </c>
      <c r="F604">
        <v>11.51377344</v>
      </c>
      <c r="G604">
        <v>43.429000000000002</v>
      </c>
      <c r="H604">
        <f t="shared" si="125"/>
        <v>0.26511716687006376</v>
      </c>
      <c r="I604">
        <v>532.04238750000002</v>
      </c>
      <c r="J604">
        <f t="shared" si="126"/>
        <v>2006.8198290635726</v>
      </c>
      <c r="K604" s="1">
        <v>1.77E-6</v>
      </c>
      <c r="L604" s="1">
        <f t="shared" si="127"/>
        <v>13620.609872338287</v>
      </c>
      <c r="M604" s="1">
        <f t="shared" si="128"/>
        <v>119316542.4816834</v>
      </c>
      <c r="N604">
        <f t="shared" si="129"/>
        <v>1.610970845999488E+33</v>
      </c>
      <c r="O604">
        <v>9.5346715329999991</v>
      </c>
      <c r="P604" s="1">
        <f t="shared" si="130"/>
        <v>2.1942405409069788E+37</v>
      </c>
      <c r="Q604" s="1">
        <f t="shared" si="131"/>
        <v>2.3013278782730972E+36</v>
      </c>
    </row>
    <row r="605" spans="1:17" x14ac:dyDescent="0.2">
      <c r="A605">
        <f t="shared" si="132"/>
        <v>604</v>
      </c>
      <c r="B605">
        <f t="shared" si="137"/>
        <v>166.66666666666666</v>
      </c>
      <c r="C605">
        <f t="shared" si="133"/>
        <v>604000</v>
      </c>
      <c r="E605" t="s">
        <v>11</v>
      </c>
      <c r="F605">
        <v>11.48198432</v>
      </c>
      <c r="G605">
        <v>43.429000000000002</v>
      </c>
      <c r="H605">
        <f t="shared" si="125"/>
        <v>0.26438518777775222</v>
      </c>
      <c r="I605">
        <v>354.27843819999998</v>
      </c>
      <c r="J605">
        <f t="shared" si="126"/>
        <v>1340.0086486608091</v>
      </c>
      <c r="K605" s="1">
        <v>1.7799999999999999E-6</v>
      </c>
      <c r="L605" s="1">
        <f t="shared" si="127"/>
        <v>13469.403336001751</v>
      </c>
      <c r="M605" s="1">
        <f t="shared" si="128"/>
        <v>117991973.22337534</v>
      </c>
      <c r="N605">
        <f t="shared" si="129"/>
        <v>1.5657161560447573E+22</v>
      </c>
      <c r="O605">
        <v>10.12393552</v>
      </c>
      <c r="P605" s="1">
        <f t="shared" si="130"/>
        <v>2.1089262415461091E+26</v>
      </c>
      <c r="Q605" s="1">
        <f t="shared" si="131"/>
        <v>2.0831091203414828E+25</v>
      </c>
    </row>
    <row r="606" spans="1:17" x14ac:dyDescent="0.2">
      <c r="A606">
        <f t="shared" si="132"/>
        <v>605</v>
      </c>
      <c r="B606">
        <f t="shared" si="137"/>
        <v>166.66666666666666</v>
      </c>
      <c r="C606">
        <f t="shared" si="133"/>
        <v>605000</v>
      </c>
      <c r="E606" t="s">
        <v>11</v>
      </c>
      <c r="F606">
        <v>11.433924409999999</v>
      </c>
      <c r="G606">
        <v>43.429000000000002</v>
      </c>
      <c r="H606">
        <f t="shared" si="125"/>
        <v>0.26327855603398648</v>
      </c>
      <c r="I606">
        <v>563.86484810000002</v>
      </c>
      <c r="J606">
        <f t="shared" si="126"/>
        <v>2141.7044236113593</v>
      </c>
      <c r="K606" s="1">
        <v>1.7999999999999999E-6</v>
      </c>
      <c r="L606" s="1">
        <f t="shared" si="127"/>
        <v>13208.472298387753</v>
      </c>
      <c r="M606" s="1">
        <f t="shared" si="128"/>
        <v>115706217.33387671</v>
      </c>
      <c r="N606">
        <f t="shared" si="129"/>
        <v>2.7208483300475031E+35</v>
      </c>
      <c r="O606">
        <v>10.500304140000001</v>
      </c>
      <c r="P606" s="1">
        <f t="shared" si="130"/>
        <v>3.5938249795547019E+39</v>
      </c>
      <c r="Q606" s="1">
        <f t="shared" si="131"/>
        <v>3.4225913189165033E+38</v>
      </c>
    </row>
    <row r="607" spans="1:17" x14ac:dyDescent="0.2">
      <c r="A607">
        <f t="shared" si="132"/>
        <v>606</v>
      </c>
      <c r="B607">
        <f t="shared" si="137"/>
        <v>166.66666666666666</v>
      </c>
      <c r="C607">
        <f t="shared" si="133"/>
        <v>606000</v>
      </c>
      <c r="E607" t="s">
        <v>11</v>
      </c>
      <c r="F607">
        <v>11.192636630000001</v>
      </c>
      <c r="G607">
        <v>43.429000000000002</v>
      </c>
      <c r="H607">
        <f t="shared" si="125"/>
        <v>0.25772264224366209</v>
      </c>
      <c r="I607">
        <v>563.86484810000002</v>
      </c>
      <c r="J607">
        <f t="shared" si="126"/>
        <v>2187.8746981295417</v>
      </c>
      <c r="K607" s="1">
        <v>1.9199999999999998E-6</v>
      </c>
      <c r="L607" s="1">
        <f t="shared" si="127"/>
        <v>11865.82780806966</v>
      </c>
      <c r="M607" s="1">
        <f t="shared" si="128"/>
        <v>103944651.59869023</v>
      </c>
      <c r="N607">
        <f t="shared" si="129"/>
        <v>1.5747281329445596E+36</v>
      </c>
      <c r="O607">
        <v>11.33287713</v>
      </c>
      <c r="P607" s="1">
        <f t="shared" si="130"/>
        <v>1.8685452870043172E+40</v>
      </c>
      <c r="Q607" s="1">
        <f t="shared" si="131"/>
        <v>1.6487827985516306E+39</v>
      </c>
    </row>
    <row r="608" spans="1:17" x14ac:dyDescent="0.2">
      <c r="A608">
        <f t="shared" si="132"/>
        <v>607</v>
      </c>
      <c r="B608">
        <f t="shared" si="137"/>
        <v>166.66666666666666</v>
      </c>
      <c r="C608">
        <f t="shared" si="133"/>
        <v>607000</v>
      </c>
      <c r="E608" t="s">
        <v>11</v>
      </c>
      <c r="F608">
        <v>11.167113560000001</v>
      </c>
      <c r="G608">
        <v>43.429000000000002</v>
      </c>
      <c r="H608">
        <f t="shared" si="125"/>
        <v>0.25713494577356144</v>
      </c>
      <c r="I608">
        <v>563.86484810000002</v>
      </c>
      <c r="J608">
        <f t="shared" si="126"/>
        <v>2192.8752095662312</v>
      </c>
      <c r="K608" s="1">
        <v>1.9300000000000002E-6</v>
      </c>
      <c r="L608" s="1">
        <f t="shared" si="127"/>
        <v>11750.572256955711</v>
      </c>
      <c r="M608" s="1">
        <f t="shared" si="128"/>
        <v>102935012.97093202</v>
      </c>
      <c r="N608">
        <f t="shared" si="129"/>
        <v>1.9045349323717232E+36</v>
      </c>
      <c r="O608">
        <v>11.929744530000001</v>
      </c>
      <c r="P608" s="1">
        <f t="shared" si="130"/>
        <v>2.237937533873019E+40</v>
      </c>
      <c r="Q608" s="1">
        <f t="shared" si="131"/>
        <v>1.8759308116324088E+39</v>
      </c>
    </row>
    <row r="609" spans="1:17" x14ac:dyDescent="0.2">
      <c r="A609">
        <f t="shared" si="132"/>
        <v>608</v>
      </c>
      <c r="B609">
        <f t="shared" si="137"/>
        <v>166.66666666666666</v>
      </c>
      <c r="C609">
        <f t="shared" si="133"/>
        <v>608000</v>
      </c>
      <c r="E609" t="s">
        <v>11</v>
      </c>
      <c r="F609">
        <v>11.10444028</v>
      </c>
      <c r="G609">
        <v>43.429000000000002</v>
      </c>
      <c r="H609">
        <f t="shared" si="125"/>
        <v>0.25569182527804002</v>
      </c>
      <c r="I609">
        <v>473.68393809999998</v>
      </c>
      <c r="J609">
        <f t="shared" si="126"/>
        <v>1852.5580064396456</v>
      </c>
      <c r="K609" s="1">
        <v>1.9599999999999999E-6</v>
      </c>
      <c r="L609" s="1">
        <f t="shared" si="127"/>
        <v>11441.204164952756</v>
      </c>
      <c r="M609" s="1">
        <f t="shared" si="128"/>
        <v>100224948.48498614</v>
      </c>
      <c r="N609">
        <f t="shared" si="129"/>
        <v>4.5651647543594937E+30</v>
      </c>
      <c r="O609">
        <v>12.461982969999999</v>
      </c>
      <c r="P609" s="1">
        <f t="shared" si="130"/>
        <v>5.2230982001273363E+34</v>
      </c>
      <c r="Q609" s="1">
        <f t="shared" si="131"/>
        <v>4.1912255960395815E+33</v>
      </c>
    </row>
    <row r="610" spans="1:17" x14ac:dyDescent="0.2">
      <c r="A610">
        <f t="shared" si="132"/>
        <v>609</v>
      </c>
      <c r="B610">
        <f t="shared" si="137"/>
        <v>166.66666666666666</v>
      </c>
      <c r="C610">
        <f t="shared" si="133"/>
        <v>609000</v>
      </c>
      <c r="E610" t="s">
        <v>11</v>
      </c>
      <c r="F610">
        <v>10.90444054</v>
      </c>
      <c r="G610">
        <v>43.429000000000002</v>
      </c>
      <c r="H610">
        <f t="shared" si="125"/>
        <v>0.2510866135531557</v>
      </c>
      <c r="I610">
        <v>532.04238750000002</v>
      </c>
      <c r="J610">
        <f t="shared" si="126"/>
        <v>2118.9595891672866</v>
      </c>
      <c r="K610" s="1">
        <v>2.08E-6</v>
      </c>
      <c r="L610" s="1">
        <f t="shared" si="127"/>
        <v>10396.27846847018</v>
      </c>
      <c r="M610" s="1">
        <f t="shared" si="128"/>
        <v>91071399.383798778</v>
      </c>
      <c r="N610">
        <f t="shared" si="129"/>
        <v>1.1457076202532821E+35</v>
      </c>
      <c r="O610">
        <v>14.21456813</v>
      </c>
      <c r="P610" s="1">
        <f t="shared" si="130"/>
        <v>1.1911095463601407E+39</v>
      </c>
      <c r="Q610" s="1">
        <f t="shared" si="131"/>
        <v>8.3794986626874095E+37</v>
      </c>
    </row>
    <row r="611" spans="1:17" x14ac:dyDescent="0.2">
      <c r="A611">
        <f t="shared" si="132"/>
        <v>610</v>
      </c>
      <c r="B611">
        <f t="shared" si="137"/>
        <v>166.66666666666666</v>
      </c>
      <c r="C611">
        <f t="shared" si="133"/>
        <v>610000</v>
      </c>
      <c r="E611" t="s">
        <v>11</v>
      </c>
      <c r="F611">
        <v>10.82521133</v>
      </c>
      <c r="G611">
        <v>43.429000000000002</v>
      </c>
      <c r="H611">
        <f t="shared" si="125"/>
        <v>0.24926227474728868</v>
      </c>
      <c r="I611">
        <v>846.79158440000003</v>
      </c>
      <c r="J611">
        <f t="shared" si="126"/>
        <v>3397.1911122872834</v>
      </c>
      <c r="K611" s="1">
        <v>2.12E-6</v>
      </c>
      <c r="L611" s="1">
        <f t="shared" si="127"/>
        <v>10052.437166501009</v>
      </c>
      <c r="M611" s="1">
        <f t="shared" si="128"/>
        <v>88059349.578548849</v>
      </c>
      <c r="N611">
        <f t="shared" si="129"/>
        <v>1.4758574432550333E+56</v>
      </c>
      <c r="O611">
        <v>15.49574209</v>
      </c>
      <c r="P611" s="1">
        <f t="shared" si="130"/>
        <v>1.483596421503405E+60</v>
      </c>
      <c r="Q611" s="1">
        <f t="shared" si="131"/>
        <v>9.5742198914166691E+58</v>
      </c>
    </row>
    <row r="612" spans="1:17" x14ac:dyDescent="0.2">
      <c r="A612">
        <f t="shared" si="132"/>
        <v>611</v>
      </c>
      <c r="B612">
        <f t="shared" si="137"/>
        <v>166.66666666666666</v>
      </c>
      <c r="C612">
        <f t="shared" si="133"/>
        <v>611000</v>
      </c>
      <c r="E612" t="s">
        <v>11</v>
      </c>
      <c r="F612">
        <v>10.71731393</v>
      </c>
      <c r="G612">
        <v>43.429000000000002</v>
      </c>
      <c r="H612">
        <f t="shared" si="125"/>
        <v>0.24677781965967438</v>
      </c>
      <c r="I612">
        <v>597.59067030000006</v>
      </c>
      <c r="J612">
        <f t="shared" si="126"/>
        <v>2421.5736694818183</v>
      </c>
      <c r="K612" s="1">
        <v>2.1900000000000002E-6</v>
      </c>
      <c r="L612" s="1">
        <f t="shared" si="127"/>
        <v>9538.1083336356569</v>
      </c>
      <c r="M612" s="1">
        <f t="shared" si="128"/>
        <v>83553829.002648354</v>
      </c>
      <c r="N612">
        <f t="shared" si="129"/>
        <v>1.1395670775948504E+40</v>
      </c>
      <c r="O612">
        <v>16.468978100000001</v>
      </c>
      <c r="P612" s="1">
        <f t="shared" si="130"/>
        <v>1.0869314239544274E+44</v>
      </c>
      <c r="Q612" s="1">
        <f t="shared" si="131"/>
        <v>6.5998716942517963E+42</v>
      </c>
    </row>
    <row r="613" spans="1:17" x14ac:dyDescent="0.2">
      <c r="A613">
        <f t="shared" si="132"/>
        <v>612</v>
      </c>
      <c r="B613">
        <f t="shared" si="137"/>
        <v>166.66666666666666</v>
      </c>
      <c r="C613">
        <f t="shared" si="133"/>
        <v>612000</v>
      </c>
      <c r="E613" t="s">
        <v>11</v>
      </c>
      <c r="F613">
        <v>10.68747699</v>
      </c>
      <c r="G613">
        <v>43.429000000000002</v>
      </c>
      <c r="H613">
        <f t="shared" si="125"/>
        <v>0.24609079163692463</v>
      </c>
      <c r="I613">
        <v>597.59067030000006</v>
      </c>
      <c r="J613">
        <f t="shared" si="126"/>
        <v>2428.3341376773997</v>
      </c>
      <c r="K613" s="1">
        <v>2.21E-6</v>
      </c>
      <c r="L613" s="1">
        <f t="shared" si="127"/>
        <v>9399.2364076341491</v>
      </c>
      <c r="M613" s="1">
        <f t="shared" si="128"/>
        <v>82337310.930875152</v>
      </c>
      <c r="N613">
        <f t="shared" si="129"/>
        <v>1.4736315276853812E+40</v>
      </c>
      <c r="O613">
        <v>17.856599760000002</v>
      </c>
      <c r="P613" s="1">
        <f t="shared" si="130"/>
        <v>1.3851011106457965E+44</v>
      </c>
      <c r="Q613" s="1">
        <f t="shared" si="131"/>
        <v>7.7568021306526528E+42</v>
      </c>
    </row>
    <row r="614" spans="1:17" x14ac:dyDescent="0.2">
      <c r="A614">
        <f t="shared" si="132"/>
        <v>613</v>
      </c>
      <c r="B614">
        <f t="shared" si="137"/>
        <v>166.66666666666666</v>
      </c>
      <c r="C614">
        <f t="shared" si="133"/>
        <v>613000</v>
      </c>
      <c r="E614" t="s">
        <v>11</v>
      </c>
      <c r="F614">
        <v>10.645621119999999</v>
      </c>
      <c r="G614">
        <v>43.429000000000002</v>
      </c>
      <c r="H614">
        <f t="shared" si="125"/>
        <v>0.24512701466761838</v>
      </c>
      <c r="I614">
        <v>502.01586959999997</v>
      </c>
      <c r="J614">
        <f t="shared" si="126"/>
        <v>2047.9826357805227</v>
      </c>
      <c r="K614" s="1">
        <v>2.2299999999999998E-6</v>
      </c>
      <c r="L614" s="1">
        <f t="shared" si="127"/>
        <v>9242.1201294670718</v>
      </c>
      <c r="M614" s="1">
        <f t="shared" si="128"/>
        <v>80960972.334131554</v>
      </c>
      <c r="N614">
        <f t="shared" si="129"/>
        <v>7.7070946649107664E+33</v>
      </c>
      <c r="O614">
        <v>19.133972020000002</v>
      </c>
      <c r="P614" s="1">
        <f t="shared" si="130"/>
        <v>7.1229894742280071E+37</v>
      </c>
      <c r="Q614" s="1">
        <f t="shared" si="131"/>
        <v>3.7226925317872429E+36</v>
      </c>
    </row>
    <row r="615" spans="1:17" x14ac:dyDescent="0.2">
      <c r="A615">
        <f t="shared" si="132"/>
        <v>614</v>
      </c>
      <c r="B615">
        <f t="shared" si="137"/>
        <v>166.66666666666666</v>
      </c>
      <c r="C615">
        <f t="shared" si="133"/>
        <v>614000</v>
      </c>
      <c r="E615" t="s">
        <v>11</v>
      </c>
      <c r="F615">
        <v>10.34147858</v>
      </c>
      <c r="G615">
        <v>43.429000000000002</v>
      </c>
      <c r="H615">
        <f t="shared" si="125"/>
        <v>0.23812380160722099</v>
      </c>
      <c r="I615">
        <v>2706.1525969999998</v>
      </c>
      <c r="J615">
        <f t="shared" si="126"/>
        <v>11364.477547959394</v>
      </c>
      <c r="K615" s="1">
        <v>2.4499999999999998E-6</v>
      </c>
      <c r="L615" s="1">
        <f t="shared" si="127"/>
        <v>7938.4122848625211</v>
      </c>
      <c r="M615" s="1">
        <f t="shared" si="128"/>
        <v>69540491.61539568</v>
      </c>
      <c r="N615">
        <f t="shared" si="129"/>
        <v>5.6057865782203349E+187</v>
      </c>
      <c r="O615">
        <v>25.148266419999999</v>
      </c>
      <c r="P615" s="1">
        <f t="shared" si="130"/>
        <v>4.4501045038861741E+191</v>
      </c>
      <c r="Q615" s="1">
        <f t="shared" si="131"/>
        <v>1.7695472242758967E+190</v>
      </c>
    </row>
    <row r="616" spans="1:17" x14ac:dyDescent="0.2">
      <c r="A616">
        <f t="shared" si="132"/>
        <v>615</v>
      </c>
      <c r="B616">
        <f t="shared" si="137"/>
        <v>166.66666666666666</v>
      </c>
      <c r="C616">
        <f t="shared" si="133"/>
        <v>615000</v>
      </c>
      <c r="E616" t="s">
        <v>11</v>
      </c>
      <c r="F616">
        <v>10.15599169</v>
      </c>
      <c r="G616">
        <v>43.429000000000002</v>
      </c>
      <c r="H616">
        <f t="shared" si="125"/>
        <v>0.23385276405167055</v>
      </c>
      <c r="I616">
        <v>1068.2961989999999</v>
      </c>
      <c r="J616">
        <f t="shared" si="126"/>
        <v>4568.2427716097309</v>
      </c>
      <c r="K616" s="1">
        <v>2.5900000000000002E-6</v>
      </c>
      <c r="L616" s="1">
        <f t="shared" si="127"/>
        <v>7242.347695880293</v>
      </c>
      <c r="M616" s="1">
        <f t="shared" si="128"/>
        <v>63442965.815911368</v>
      </c>
      <c r="N616">
        <f t="shared" si="129"/>
        <v>3.2280592377164863E+75</v>
      </c>
      <c r="O616">
        <v>29.539233580000001</v>
      </c>
      <c r="P616" s="1">
        <f t="shared" si="130"/>
        <v>2.3378727382441088E+79</v>
      </c>
      <c r="Q616" s="1">
        <f t="shared" si="131"/>
        <v>7.9144664735885433E+77</v>
      </c>
    </row>
    <row r="617" spans="1:17" x14ac:dyDescent="0.2">
      <c r="A617">
        <f t="shared" si="132"/>
        <v>616</v>
      </c>
      <c r="B617">
        <f t="shared" si="137"/>
        <v>166.66666666666666</v>
      </c>
      <c r="C617">
        <f t="shared" si="133"/>
        <v>616000</v>
      </c>
      <c r="E617" t="s">
        <v>11</v>
      </c>
      <c r="F617">
        <v>10.114958229999999</v>
      </c>
      <c r="G617">
        <v>43.429000000000002</v>
      </c>
      <c r="H617">
        <f t="shared" si="125"/>
        <v>0.23290792396785556</v>
      </c>
      <c r="I617">
        <v>897.43978930000003</v>
      </c>
      <c r="J617">
        <f t="shared" si="126"/>
        <v>3853.195606276834</v>
      </c>
      <c r="K617" s="1">
        <v>2.6299999999999998E-6</v>
      </c>
      <c r="L617" s="1">
        <f t="shared" si="127"/>
        <v>7074.6816194397816</v>
      </c>
      <c r="M617" s="1">
        <f t="shared" si="128"/>
        <v>61974210.986292489</v>
      </c>
      <c r="N617">
        <f t="shared" si="129"/>
        <v>5.0113002535592708E+63</v>
      </c>
      <c r="O617">
        <v>29.79774939</v>
      </c>
      <c r="P617" s="1">
        <f t="shared" si="130"/>
        <v>3.5453353793349693E+67</v>
      </c>
      <c r="Q617" s="1">
        <f t="shared" si="131"/>
        <v>1.1897997170634534E+66</v>
      </c>
    </row>
    <row r="618" spans="1:17" x14ac:dyDescent="0.2">
      <c r="A618">
        <f t="shared" si="132"/>
        <v>617</v>
      </c>
      <c r="B618">
        <f t="shared" si="137"/>
        <v>166.66666666666666</v>
      </c>
      <c r="C618">
        <f t="shared" si="133"/>
        <v>617000</v>
      </c>
      <c r="E618" t="s">
        <v>11</v>
      </c>
      <c r="F618">
        <v>10.102593990000001</v>
      </c>
      <c r="G618">
        <v>43.429000000000002</v>
      </c>
      <c r="H618">
        <f t="shared" si="125"/>
        <v>0.23262322388265905</v>
      </c>
      <c r="I618">
        <v>1513.7857329999999</v>
      </c>
      <c r="J618">
        <f t="shared" si="126"/>
        <v>6507.4574573155742</v>
      </c>
      <c r="K618" s="1">
        <v>2.6400000000000001E-6</v>
      </c>
      <c r="L618" s="1">
        <f t="shared" si="127"/>
        <v>7030.6638451968438</v>
      </c>
      <c r="M618" s="1">
        <f t="shared" si="128"/>
        <v>61588615.283924349</v>
      </c>
      <c r="N618">
        <f t="shared" si="129"/>
        <v>3.4279710279417524E+107</v>
      </c>
      <c r="O618">
        <v>29.714111920000001</v>
      </c>
      <c r="P618" s="1">
        <f t="shared" si="130"/>
        <v>2.4100911968532338E+111</v>
      </c>
      <c r="Q618" s="1">
        <f t="shared" si="131"/>
        <v>8.1109312751529602E+109</v>
      </c>
    </row>
    <row r="619" spans="1:17" x14ac:dyDescent="0.2">
      <c r="A619">
        <f t="shared" si="132"/>
        <v>618</v>
      </c>
      <c r="B619">
        <f t="shared" si="137"/>
        <v>166.66666666666666</v>
      </c>
      <c r="C619">
        <f t="shared" si="133"/>
        <v>618000</v>
      </c>
      <c r="E619" t="s">
        <v>11</v>
      </c>
      <c r="F619">
        <v>12.155822560000001</v>
      </c>
      <c r="G619">
        <v>43.429000000000002</v>
      </c>
      <c r="H619">
        <f t="shared" si="125"/>
        <v>0.27990104676598587</v>
      </c>
      <c r="I619">
        <v>633.33369760000005</v>
      </c>
      <c r="J619">
        <f t="shared" si="126"/>
        <v>2262.7057130283088</v>
      </c>
      <c r="K619" s="1">
        <v>1.5099999999999999E-6</v>
      </c>
      <c r="L619" s="1">
        <f t="shared" si="127"/>
        <v>17796.156570449173</v>
      </c>
      <c r="M619" s="1">
        <f t="shared" si="128"/>
        <v>155894331.55713475</v>
      </c>
      <c r="N619">
        <f t="shared" si="129"/>
        <v>2.7104315948700913E+37</v>
      </c>
      <c r="O619">
        <v>10.378649640000001</v>
      </c>
      <c r="P619" s="1">
        <f t="shared" si="130"/>
        <v>4.8235265035800409E+41</v>
      </c>
      <c r="Q619" s="1">
        <f t="shared" si="131"/>
        <v>4.6475472926553488E+40</v>
      </c>
    </row>
    <row r="620" spans="1:17" x14ac:dyDescent="0.2">
      <c r="A620">
        <f t="shared" si="132"/>
        <v>619</v>
      </c>
      <c r="B620">
        <f t="shared" si="137"/>
        <v>166.66666666666666</v>
      </c>
      <c r="C620">
        <f t="shared" si="133"/>
        <v>619000</v>
      </c>
      <c r="E620" t="s">
        <v>11</v>
      </c>
      <c r="F620">
        <v>12.14483997</v>
      </c>
      <c r="G620">
        <v>43.429000000000002</v>
      </c>
      <c r="H620">
        <f t="shared" si="125"/>
        <v>0.27964816067604592</v>
      </c>
      <c r="I620">
        <v>264.97248830000001</v>
      </c>
      <c r="J620">
        <f t="shared" si="126"/>
        <v>947.52094081159817</v>
      </c>
      <c r="K620" s="1">
        <v>1.5099999999999999E-6</v>
      </c>
      <c r="L620" s="1">
        <f t="shared" si="127"/>
        <v>17764.014015190063</v>
      </c>
      <c r="M620" s="1">
        <f t="shared" si="128"/>
        <v>155612762.77306494</v>
      </c>
      <c r="N620">
        <f t="shared" si="129"/>
        <v>5161614893644209</v>
      </c>
      <c r="O620">
        <v>9.8692214109999998</v>
      </c>
      <c r="P620" s="1">
        <f t="shared" si="130"/>
        <v>9.1690999311709503E+19</v>
      </c>
      <c r="Q620" s="1">
        <f t="shared" si="131"/>
        <v>9.2906011014721884E+18</v>
      </c>
    </row>
    <row r="621" spans="1:17" x14ac:dyDescent="0.2">
      <c r="A621">
        <f t="shared" si="132"/>
        <v>620</v>
      </c>
      <c r="B621">
        <f t="shared" si="137"/>
        <v>166.66666666666666</v>
      </c>
      <c r="C621">
        <f t="shared" si="133"/>
        <v>620000</v>
      </c>
      <c r="E621" t="s">
        <v>11</v>
      </c>
      <c r="F621">
        <v>12.057940990000001</v>
      </c>
      <c r="G621">
        <v>43.429000000000002</v>
      </c>
      <c r="H621">
        <f t="shared" si="125"/>
        <v>0.27764721706693685</v>
      </c>
      <c r="I621">
        <v>799.00177810000002</v>
      </c>
      <c r="J621">
        <f t="shared" si="126"/>
        <v>2877.7590012990186</v>
      </c>
      <c r="K621" s="1">
        <v>1.55E-6</v>
      </c>
      <c r="L621" s="1">
        <f t="shared" si="127"/>
        <v>17058.823329509716</v>
      </c>
      <c r="M621" s="1">
        <f t="shared" si="128"/>
        <v>149435292.36650512</v>
      </c>
      <c r="N621">
        <f t="shared" si="129"/>
        <v>3.8961210512726807E+47</v>
      </c>
      <c r="O621">
        <v>8.7249087589999998</v>
      </c>
      <c r="P621" s="1">
        <f t="shared" si="130"/>
        <v>6.6463240684044333E+51</v>
      </c>
      <c r="Q621" s="1">
        <f t="shared" si="131"/>
        <v>7.617643063084819E+50</v>
      </c>
    </row>
    <row r="622" spans="1:17" x14ac:dyDescent="0.2">
      <c r="A622">
        <f t="shared" si="132"/>
        <v>621</v>
      </c>
      <c r="B622">
        <f t="shared" si="137"/>
        <v>166.66666666666666</v>
      </c>
      <c r="C622">
        <f t="shared" si="133"/>
        <v>621000</v>
      </c>
      <c r="E622" t="s">
        <v>11</v>
      </c>
      <c r="F622">
        <v>12.27103005</v>
      </c>
      <c r="G622">
        <v>43.429000000000002</v>
      </c>
      <c r="H622">
        <f t="shared" si="125"/>
        <v>0.28255382463330952</v>
      </c>
      <c r="I622">
        <v>1801.9833349999999</v>
      </c>
      <c r="J622">
        <f t="shared" si="126"/>
        <v>6377.4869702739425</v>
      </c>
      <c r="K622" s="1">
        <v>1.4699999999999999E-6</v>
      </c>
      <c r="L622" s="1">
        <f t="shared" si="127"/>
        <v>18628.554890145911</v>
      </c>
      <c r="M622" s="1">
        <f t="shared" si="128"/>
        <v>163186140.83767819</v>
      </c>
      <c r="N622">
        <f t="shared" si="129"/>
        <v>2.4466783976819153E+105</v>
      </c>
      <c r="O622">
        <v>8.0748175179999997</v>
      </c>
      <c r="P622" s="1">
        <f t="shared" si="130"/>
        <v>4.5578082829751809E+109</v>
      </c>
      <c r="Q622" s="1">
        <f t="shared" si="131"/>
        <v>5.6444721788636476E+108</v>
      </c>
    </row>
    <row r="623" spans="1:17" x14ac:dyDescent="0.2">
      <c r="A623">
        <f t="shared" si="132"/>
        <v>622</v>
      </c>
      <c r="B623">
        <f t="shared" si="137"/>
        <v>166.66666666666666</v>
      </c>
      <c r="C623">
        <f t="shared" si="133"/>
        <v>622000</v>
      </c>
      <c r="E623" t="s">
        <v>11</v>
      </c>
      <c r="F623">
        <v>12.529926789999999</v>
      </c>
      <c r="G623">
        <v>43.429000000000002</v>
      </c>
      <c r="H623">
        <f t="shared" si="125"/>
        <v>0.28851520389601415</v>
      </c>
      <c r="I623">
        <v>1271.6805979999999</v>
      </c>
      <c r="J623">
        <f t="shared" si="126"/>
        <v>4407.6727355357516</v>
      </c>
      <c r="K623" s="1">
        <v>1.39E-6</v>
      </c>
      <c r="L623" s="1">
        <f t="shared" si="127"/>
        <v>20540.770393921877</v>
      </c>
      <c r="M623" s="1">
        <f t="shared" si="128"/>
        <v>179937148.65075564</v>
      </c>
      <c r="N623">
        <f t="shared" si="129"/>
        <v>7.1966476295010923E+72</v>
      </c>
      <c r="O623">
        <v>6.5921532850000002</v>
      </c>
      <c r="P623" s="1">
        <f t="shared" si="130"/>
        <v>1.4782468656354411E+77</v>
      </c>
      <c r="Q623" s="1">
        <f t="shared" si="131"/>
        <v>2.2424339995234819E+76</v>
      </c>
    </row>
    <row r="624" spans="1:17" x14ac:dyDescent="0.2">
      <c r="A624">
        <f t="shared" si="132"/>
        <v>623</v>
      </c>
      <c r="B624">
        <f t="shared" si="137"/>
        <v>166.66666666666666</v>
      </c>
      <c r="C624">
        <f t="shared" si="133"/>
        <v>623000</v>
      </c>
      <c r="E624" t="s">
        <v>11</v>
      </c>
      <c r="F624">
        <v>12.12315581</v>
      </c>
      <c r="G624">
        <v>43.429000000000002</v>
      </c>
      <c r="H624">
        <f t="shared" si="125"/>
        <v>0.27914885928757283</v>
      </c>
      <c r="I624">
        <v>1271.6805979999999</v>
      </c>
      <c r="J624">
        <f t="shared" si="126"/>
        <v>4555.5643725197651</v>
      </c>
      <c r="K624" s="1">
        <v>1.5200000000000001E-6</v>
      </c>
      <c r="L624" s="1">
        <f t="shared" si="127"/>
        <v>17584.185115166267</v>
      </c>
      <c r="M624" s="1">
        <f t="shared" si="128"/>
        <v>154037461.6088565</v>
      </c>
      <c r="N624">
        <f t="shared" si="129"/>
        <v>1.9932325143404042E+75</v>
      </c>
      <c r="O624">
        <v>6.3944647200000002</v>
      </c>
      <c r="P624" s="1">
        <f t="shared" si="130"/>
        <v>3.5049369509729968E+79</v>
      </c>
      <c r="Q624" s="1">
        <f t="shared" si="131"/>
        <v>5.4812046112485189E+78</v>
      </c>
    </row>
    <row r="625" spans="1:17" x14ac:dyDescent="0.2">
      <c r="A625">
        <f t="shared" si="132"/>
        <v>624</v>
      </c>
      <c r="B625">
        <f t="shared" si="137"/>
        <v>166.66666666666666</v>
      </c>
      <c r="C625">
        <f t="shared" si="133"/>
        <v>624000</v>
      </c>
      <c r="E625" t="s">
        <v>11</v>
      </c>
      <c r="F625">
        <v>12.00395722</v>
      </c>
      <c r="G625">
        <v>43.429000000000002</v>
      </c>
      <c r="H625">
        <f t="shared" si="125"/>
        <v>0.27640418199820393</v>
      </c>
      <c r="I625">
        <v>753.90905290000001</v>
      </c>
      <c r="J625">
        <f t="shared" si="126"/>
        <v>2727.5602252099748</v>
      </c>
      <c r="K625" s="1">
        <v>1.57E-6</v>
      </c>
      <c r="L625" s="1">
        <f t="shared" si="127"/>
        <v>16691.051105956059</v>
      </c>
      <c r="M625" s="1">
        <f t="shared" si="128"/>
        <v>146213607.68817508</v>
      </c>
      <c r="N625">
        <f t="shared" si="129"/>
        <v>1.2885532090453108E+45</v>
      </c>
      <c r="O625">
        <v>6.5921532850000002</v>
      </c>
      <c r="P625" s="1">
        <f t="shared" si="130"/>
        <v>2.1507307464918963E+49</v>
      </c>
      <c r="Q625" s="1">
        <f t="shared" si="131"/>
        <v>3.2625617965919256E+48</v>
      </c>
    </row>
    <row r="626" spans="1:17" x14ac:dyDescent="0.2">
      <c r="A626">
        <f t="shared" si="132"/>
        <v>625</v>
      </c>
      <c r="B626">
        <f t="shared" si="137"/>
        <v>166.66666666666666</v>
      </c>
      <c r="C626">
        <f t="shared" si="133"/>
        <v>625000</v>
      </c>
      <c r="E626" t="s">
        <v>11</v>
      </c>
      <c r="F626">
        <v>11.79489993</v>
      </c>
      <c r="G626">
        <v>43.429000000000002</v>
      </c>
      <c r="H626">
        <f t="shared" si="125"/>
        <v>0.27159041032489811</v>
      </c>
      <c r="I626">
        <v>2409.32123</v>
      </c>
      <c r="J626">
        <f t="shared" si="126"/>
        <v>8871.1572220748803</v>
      </c>
      <c r="K626" s="1">
        <v>1.6500000000000001E-6</v>
      </c>
      <c r="L626" s="1">
        <f t="shared" si="127"/>
        <v>15333.420234117064</v>
      </c>
      <c r="M626" s="1">
        <f t="shared" si="128"/>
        <v>134320761.25086549</v>
      </c>
      <c r="N626">
        <f t="shared" si="129"/>
        <v>3.7281745165478956E+146</v>
      </c>
      <c r="O626">
        <v>6.9190997569999997</v>
      </c>
      <c r="P626" s="1">
        <f t="shared" si="130"/>
        <v>5.7165666568355107E+150</v>
      </c>
      <c r="Q626" s="1">
        <f t="shared" si="131"/>
        <v>8.2620093041036227E+149</v>
      </c>
    </row>
    <row r="627" spans="1:17" x14ac:dyDescent="0.2">
      <c r="A627">
        <f t="shared" si="132"/>
        <v>626</v>
      </c>
      <c r="B627">
        <f t="shared" si="137"/>
        <v>166.66666666666666</v>
      </c>
      <c r="C627">
        <f t="shared" si="133"/>
        <v>626000</v>
      </c>
      <c r="E627" t="s">
        <v>11</v>
      </c>
      <c r="F627">
        <v>11.745845340000001</v>
      </c>
      <c r="G627">
        <v>43.429000000000002</v>
      </c>
      <c r="H627">
        <f t="shared" si="125"/>
        <v>0.27046087499136523</v>
      </c>
      <c r="I627">
        <v>3834.6436100000001</v>
      </c>
      <c r="J627">
        <f t="shared" si="126"/>
        <v>14178.182371562709</v>
      </c>
      <c r="K627" s="1">
        <v>1.6700000000000001E-6</v>
      </c>
      <c r="L627" s="1">
        <f t="shared" si="127"/>
        <v>15024.033605434461</v>
      </c>
      <c r="M627" s="1">
        <f t="shared" si="128"/>
        <v>131610534.38360588</v>
      </c>
      <c r="N627">
        <f t="shared" si="129"/>
        <v>1.6478629950982827E+234</v>
      </c>
      <c r="O627">
        <v>7.0825729930000003</v>
      </c>
      <c r="P627" s="1">
        <f t="shared" si="130"/>
        <v>2.4757549015508481E+238</v>
      </c>
      <c r="Q627" s="1">
        <f t="shared" si="131"/>
        <v>3.4955586112529146E+237</v>
      </c>
    </row>
    <row r="628" spans="1:17" x14ac:dyDescent="0.2">
      <c r="A628">
        <f t="shared" si="132"/>
        <v>627</v>
      </c>
      <c r="B628">
        <f t="shared" si="137"/>
        <v>166.66666666666666</v>
      </c>
      <c r="C628">
        <f t="shared" si="133"/>
        <v>627000</v>
      </c>
      <c r="E628" t="s">
        <v>11</v>
      </c>
      <c r="F628">
        <v>11.59630834</v>
      </c>
      <c r="G628">
        <v>43.429000000000002</v>
      </c>
      <c r="H628">
        <f t="shared" si="125"/>
        <v>0.26701762278661723</v>
      </c>
      <c r="I628">
        <v>502.01586959999997</v>
      </c>
      <c r="J628">
        <f t="shared" si="126"/>
        <v>1880.0851582787768</v>
      </c>
      <c r="K628" s="1">
        <v>1.73E-6</v>
      </c>
      <c r="L628" s="1">
        <f t="shared" si="127"/>
        <v>14136.043312927954</v>
      </c>
      <c r="M628" s="1">
        <f t="shared" si="128"/>
        <v>123831739.42124887</v>
      </c>
      <c r="N628">
        <f t="shared" si="129"/>
        <v>1.3003697945780992E+31</v>
      </c>
      <c r="O628">
        <v>7.0179440389999996</v>
      </c>
      <c r="P628" s="1">
        <f t="shared" si="130"/>
        <v>1.8382083738979236E+35</v>
      </c>
      <c r="Q628" s="1">
        <f t="shared" si="131"/>
        <v>2.6192975659005873E+34</v>
      </c>
    </row>
    <row r="629" spans="1:17" x14ac:dyDescent="0.2">
      <c r="A629">
        <f t="shared" si="132"/>
        <v>628</v>
      </c>
      <c r="B629">
        <f t="shared" si="137"/>
        <v>166.66666666666666</v>
      </c>
      <c r="C629">
        <f t="shared" si="133"/>
        <v>628000</v>
      </c>
      <c r="E629" t="s">
        <v>11</v>
      </c>
      <c r="F629">
        <v>11.534119430000001</v>
      </c>
      <c r="G629">
        <v>43.429000000000002</v>
      </c>
      <c r="H629">
        <f t="shared" si="125"/>
        <v>0.26558565543761081</v>
      </c>
      <c r="I629">
        <v>1604.3281179999999</v>
      </c>
      <c r="J629">
        <f t="shared" si="126"/>
        <v>6040.7182585087903</v>
      </c>
      <c r="K629" s="1">
        <v>1.7600000000000001E-6</v>
      </c>
      <c r="L629" s="1">
        <f t="shared" si="127"/>
        <v>13746.453947931413</v>
      </c>
      <c r="M629" s="1">
        <f t="shared" si="128"/>
        <v>120418936.58387919</v>
      </c>
      <c r="N629">
        <f t="shared" si="129"/>
        <v>6.711933907578489E+99</v>
      </c>
      <c r="O629">
        <v>7.2726581509999999</v>
      </c>
      <c r="P629" s="1">
        <f t="shared" si="130"/>
        <v>9.2265290362087046E+103</v>
      </c>
      <c r="Q629" s="1">
        <f t="shared" si="131"/>
        <v>1.268659800122744E+103</v>
      </c>
    </row>
    <row r="630" spans="1:17" x14ac:dyDescent="0.2">
      <c r="A630">
        <f t="shared" si="132"/>
        <v>629</v>
      </c>
      <c r="B630">
        <f t="shared" si="137"/>
        <v>166.66666666666666</v>
      </c>
      <c r="C630">
        <f t="shared" si="133"/>
        <v>629000</v>
      </c>
      <c r="E630" t="s">
        <v>11</v>
      </c>
      <c r="F630">
        <v>11.341320980000001</v>
      </c>
      <c r="G630">
        <v>43.429000000000002</v>
      </c>
      <c r="H630">
        <f t="shared" si="125"/>
        <v>0.26114626125400081</v>
      </c>
      <c r="I630">
        <v>846.79158440000003</v>
      </c>
      <c r="J630">
        <f t="shared" si="126"/>
        <v>3242.5950895631559</v>
      </c>
      <c r="K630" s="1">
        <v>1.8500000000000001E-6</v>
      </c>
      <c r="L630" s="1">
        <f t="shared" si="127"/>
        <v>12644.160989222379</v>
      </c>
      <c r="M630" s="1">
        <f t="shared" si="128"/>
        <v>110762850.26558803</v>
      </c>
      <c r="N630">
        <f t="shared" si="129"/>
        <v>4.1294658212982375E+53</v>
      </c>
      <c r="O630">
        <v>7.3753041359999996</v>
      </c>
      <c r="P630" s="1">
        <f t="shared" si="130"/>
        <v>5.2213630643986327E+57</v>
      </c>
      <c r="Q630" s="1">
        <f t="shared" si="131"/>
        <v>7.07952237374504E+56</v>
      </c>
    </row>
    <row r="631" spans="1:17" x14ac:dyDescent="0.2">
      <c r="A631">
        <f t="shared" si="132"/>
        <v>630</v>
      </c>
      <c r="B631">
        <f t="shared" si="137"/>
        <v>166.66666666666666</v>
      </c>
      <c r="C631">
        <f t="shared" si="133"/>
        <v>630000</v>
      </c>
      <c r="E631" t="s">
        <v>11</v>
      </c>
      <c r="F631">
        <v>11.314037819999999</v>
      </c>
      <c r="G631">
        <v>43.429000000000002</v>
      </c>
      <c r="H631">
        <f t="shared" si="125"/>
        <v>0.26051803679568947</v>
      </c>
      <c r="I631">
        <v>897.43978930000003</v>
      </c>
      <c r="J631">
        <f t="shared" si="126"/>
        <v>3444.8278527594412</v>
      </c>
      <c r="K631" s="1">
        <v>1.86E-6</v>
      </c>
      <c r="L631" s="1">
        <f t="shared" si="127"/>
        <v>12515.746823165009</v>
      </c>
      <c r="M631" s="1">
        <f t="shared" si="128"/>
        <v>109637942.17092548</v>
      </c>
      <c r="N631">
        <f t="shared" si="129"/>
        <v>9.0315922413246673E+56</v>
      </c>
      <c r="O631">
        <v>7.5805961069999999</v>
      </c>
      <c r="P631" s="1">
        <f t="shared" si="130"/>
        <v>1.1303712190248095E+61</v>
      </c>
      <c r="Q631" s="1">
        <f t="shared" si="131"/>
        <v>1.4911376401929832E+60</v>
      </c>
    </row>
    <row r="632" spans="1:17" x14ac:dyDescent="0.2">
      <c r="A632">
        <f t="shared" si="132"/>
        <v>631</v>
      </c>
      <c r="B632">
        <f t="shared" si="137"/>
        <v>166.66666666666666</v>
      </c>
      <c r="C632">
        <f t="shared" si="133"/>
        <v>631000</v>
      </c>
      <c r="E632" t="s">
        <v>11</v>
      </c>
      <c r="F632">
        <v>11.300332190000001</v>
      </c>
      <c r="G632">
        <v>43.429000000000002</v>
      </c>
      <c r="H632">
        <f t="shared" si="125"/>
        <v>0.26020244974556173</v>
      </c>
      <c r="I632">
        <v>671.21458289999998</v>
      </c>
      <c r="J632">
        <f t="shared" si="126"/>
        <v>2579.5859476201908</v>
      </c>
      <c r="K632" s="1">
        <v>1.8700000000000001E-6</v>
      </c>
      <c r="L632" s="1">
        <f t="shared" si="127"/>
        <v>12418.675398279098</v>
      </c>
      <c r="M632" s="1">
        <f t="shared" si="128"/>
        <v>108787596.48892489</v>
      </c>
      <c r="N632">
        <f t="shared" si="129"/>
        <v>4.6377765956676484E+42</v>
      </c>
      <c r="O632">
        <v>7.9569647200000002</v>
      </c>
      <c r="P632" s="1">
        <f t="shared" si="130"/>
        <v>5.7595042111332415E+46</v>
      </c>
      <c r="Q632" s="1">
        <f t="shared" si="131"/>
        <v>7.2383181449285616E+45</v>
      </c>
    </row>
    <row r="633" spans="1:17" x14ac:dyDescent="0.2">
      <c r="A633">
        <f t="shared" si="132"/>
        <v>632</v>
      </c>
      <c r="B633">
        <f t="shared" si="137"/>
        <v>166.66666666666666</v>
      </c>
      <c r="C633">
        <f t="shared" si="133"/>
        <v>632000</v>
      </c>
      <c r="E633" t="s">
        <v>11</v>
      </c>
      <c r="F633">
        <v>11.37325308</v>
      </c>
      <c r="G633">
        <v>43.429000000000002</v>
      </c>
      <c r="H633">
        <f t="shared" si="125"/>
        <v>0.26188153261645442</v>
      </c>
      <c r="I633">
        <v>633.33369760000005</v>
      </c>
      <c r="J633">
        <f t="shared" si="126"/>
        <v>2418.3977055288042</v>
      </c>
      <c r="K633" s="1">
        <v>1.8300000000000001E-6</v>
      </c>
      <c r="L633" s="1">
        <f t="shared" si="127"/>
        <v>12854.428652492501</v>
      </c>
      <c r="M633" s="1">
        <f t="shared" si="128"/>
        <v>112604794.99583431</v>
      </c>
      <c r="N633">
        <f t="shared" si="129"/>
        <v>1.0099244961249817E+40</v>
      </c>
      <c r="O633">
        <v>8.2649026760000002</v>
      </c>
      <c r="P633" s="1">
        <f t="shared" si="130"/>
        <v>1.2982002379843017E+44</v>
      </c>
      <c r="Q633" s="1">
        <f t="shared" si="131"/>
        <v>1.5707386872855436E+43</v>
      </c>
    </row>
    <row r="634" spans="1:17" x14ac:dyDescent="0.2">
      <c r="A634">
        <f t="shared" si="132"/>
        <v>633</v>
      </c>
      <c r="B634">
        <f t="shared" si="137"/>
        <v>166.66666666666666</v>
      </c>
      <c r="C634">
        <f t="shared" si="133"/>
        <v>633000</v>
      </c>
      <c r="E634" t="s">
        <v>11</v>
      </c>
      <c r="F634">
        <v>11.45047679</v>
      </c>
      <c r="G634">
        <v>43.429000000000002</v>
      </c>
      <c r="H634">
        <f t="shared" si="125"/>
        <v>0.26365969260171773</v>
      </c>
      <c r="I634">
        <v>799.00177810000002</v>
      </c>
      <c r="J634">
        <f t="shared" si="126"/>
        <v>3030.4282395829305</v>
      </c>
      <c r="K634" s="1">
        <v>1.79E-6</v>
      </c>
      <c r="L634" s="1">
        <f t="shared" si="127"/>
        <v>13320.746755012</v>
      </c>
      <c r="M634" s="1">
        <f t="shared" si="128"/>
        <v>116689741.57390513</v>
      </c>
      <c r="N634">
        <f t="shared" si="129"/>
        <v>1.2940830996127626E+50</v>
      </c>
      <c r="O634">
        <v>8.538625304</v>
      </c>
      <c r="P634" s="1">
        <f t="shared" si="130"/>
        <v>1.7238153249882579E+54</v>
      </c>
      <c r="Q634" s="1">
        <f t="shared" si="131"/>
        <v>2.018844092128882E+53</v>
      </c>
    </row>
    <row r="635" spans="1:17" x14ac:dyDescent="0.2">
      <c r="A635">
        <f t="shared" si="132"/>
        <v>634</v>
      </c>
      <c r="B635">
        <f t="shared" si="137"/>
        <v>166.66666666666666</v>
      </c>
      <c r="C635">
        <f t="shared" si="133"/>
        <v>634000</v>
      </c>
      <c r="E635" t="s">
        <v>11</v>
      </c>
      <c r="F635">
        <v>11.323577350000001</v>
      </c>
      <c r="G635">
        <v>43.429000000000002</v>
      </c>
      <c r="H635">
        <f t="shared" si="125"/>
        <v>0.26073769485827442</v>
      </c>
      <c r="I635">
        <v>753.90905290000001</v>
      </c>
      <c r="J635">
        <f t="shared" si="126"/>
        <v>2891.446337706529</v>
      </c>
      <c r="K635" s="1">
        <v>1.8500000000000001E-6</v>
      </c>
      <c r="L635" s="1">
        <f t="shared" si="127"/>
        <v>12604.628061276904</v>
      </c>
      <c r="M635" s="1">
        <f t="shared" si="128"/>
        <v>110416541.81678568</v>
      </c>
      <c r="N635">
        <f t="shared" si="129"/>
        <v>6.5565979915861997E+47</v>
      </c>
      <c r="O635">
        <v>9.0252433090000004</v>
      </c>
      <c r="P635" s="1">
        <f t="shared" si="130"/>
        <v>8.264347903125921E+51</v>
      </c>
      <c r="Q635" s="1">
        <f t="shared" si="131"/>
        <v>9.1569253261955691E+50</v>
      </c>
    </row>
    <row r="636" spans="1:17" x14ac:dyDescent="0.2">
      <c r="A636">
        <f t="shared" si="132"/>
        <v>635</v>
      </c>
      <c r="B636">
        <f t="shared" si="137"/>
        <v>166.66666666666666</v>
      </c>
      <c r="C636">
        <f t="shared" si="133"/>
        <v>635000</v>
      </c>
      <c r="E636" t="s">
        <v>11</v>
      </c>
      <c r="F636">
        <v>11.29509167</v>
      </c>
      <c r="G636">
        <v>43.429000000000002</v>
      </c>
      <c r="H636">
        <f t="shared" si="125"/>
        <v>0.26008178106794999</v>
      </c>
      <c r="I636">
        <v>563.86484810000002</v>
      </c>
      <c r="J636">
        <f t="shared" si="126"/>
        <v>2168.0290168140709</v>
      </c>
      <c r="K636" s="1">
        <v>1.8700000000000001E-6</v>
      </c>
      <c r="L636" s="1">
        <f t="shared" si="127"/>
        <v>12407.159767546864</v>
      </c>
      <c r="M636" s="1">
        <f t="shared" si="128"/>
        <v>108686719.56371053</v>
      </c>
      <c r="N636">
        <f t="shared" si="129"/>
        <v>7.4037972361952284E+35</v>
      </c>
      <c r="O636">
        <v>9.4928527979999995</v>
      </c>
      <c r="P636" s="1">
        <f t="shared" si="130"/>
        <v>9.1860095195996101E+39</v>
      </c>
      <c r="Q636" s="1">
        <f t="shared" si="131"/>
        <v>9.676763892867868E+38</v>
      </c>
    </row>
    <row r="637" spans="1:17" x14ac:dyDescent="0.2">
      <c r="A637">
        <f t="shared" si="132"/>
        <v>636</v>
      </c>
      <c r="B637">
        <f t="shared" si="137"/>
        <v>166.66666666666666</v>
      </c>
      <c r="C637">
        <f t="shared" si="133"/>
        <v>636000</v>
      </c>
      <c r="E637" t="s">
        <v>11</v>
      </c>
      <c r="F637">
        <v>11.291364679999999</v>
      </c>
      <c r="G637">
        <v>43.429000000000002</v>
      </c>
      <c r="H637">
        <f t="shared" si="125"/>
        <v>0.25999596306615391</v>
      </c>
      <c r="I637">
        <v>502.01586959999997</v>
      </c>
      <c r="J637">
        <f t="shared" si="126"/>
        <v>1930.8602475195587</v>
      </c>
      <c r="K637" s="1">
        <v>1.8700000000000001E-6</v>
      </c>
      <c r="L637" s="1">
        <f t="shared" si="127"/>
        <v>12398.973250304294</v>
      </c>
      <c r="M637" s="1">
        <f t="shared" si="128"/>
        <v>108615005.67266561</v>
      </c>
      <c r="N637">
        <f t="shared" si="129"/>
        <v>8.9663679798400311E+31</v>
      </c>
      <c r="O637">
        <v>10.599148420000001</v>
      </c>
      <c r="P637" s="1">
        <f t="shared" si="130"/>
        <v>1.111737567344215E+36</v>
      </c>
      <c r="Q637" s="1">
        <f t="shared" si="131"/>
        <v>1.0488932915086162E+35</v>
      </c>
    </row>
    <row r="638" spans="1:17" x14ac:dyDescent="0.2">
      <c r="A638">
        <f t="shared" si="132"/>
        <v>637</v>
      </c>
      <c r="B638">
        <f t="shared" si="137"/>
        <v>166.66666666666666</v>
      </c>
      <c r="C638">
        <f t="shared" si="133"/>
        <v>637000</v>
      </c>
      <c r="E638" t="s">
        <v>11</v>
      </c>
      <c r="F638">
        <v>11.23241232</v>
      </c>
      <c r="G638">
        <v>43.429000000000002</v>
      </c>
      <c r="H638">
        <f t="shared" si="125"/>
        <v>0.25863852080407101</v>
      </c>
      <c r="I638">
        <v>563.86484810000002</v>
      </c>
      <c r="J638">
        <f t="shared" si="126"/>
        <v>2180.1270991924289</v>
      </c>
      <c r="K638" s="1">
        <v>1.9E-6</v>
      </c>
      <c r="L638" s="1">
        <f t="shared" si="127"/>
        <v>12076.106507471173</v>
      </c>
      <c r="M638" s="1">
        <f t="shared" si="128"/>
        <v>105786693.00544748</v>
      </c>
      <c r="N638">
        <f t="shared" si="129"/>
        <v>1.1728814814263356E+36</v>
      </c>
      <c r="O638">
        <v>11.017335770000001</v>
      </c>
      <c r="P638" s="1">
        <f t="shared" si="130"/>
        <v>1.4163841690345002E+40</v>
      </c>
      <c r="Q638" s="1">
        <f t="shared" si="131"/>
        <v>1.2855958995924295E+39</v>
      </c>
    </row>
    <row r="639" spans="1:17" x14ac:dyDescent="0.2">
      <c r="A639">
        <f t="shared" si="132"/>
        <v>638</v>
      </c>
      <c r="B639">
        <f t="shared" si="137"/>
        <v>166.66666666666666</v>
      </c>
      <c r="C639">
        <f t="shared" si="133"/>
        <v>638000</v>
      </c>
      <c r="E639" t="s">
        <v>11</v>
      </c>
      <c r="F639">
        <v>11.155065240000001</v>
      </c>
      <c r="G639">
        <v>43.429000000000002</v>
      </c>
      <c r="H639">
        <f t="shared" si="125"/>
        <v>0.25685752009026225</v>
      </c>
      <c r="I639">
        <v>563.86484810000002</v>
      </c>
      <c r="J639">
        <f t="shared" si="126"/>
        <v>2195.2436817962439</v>
      </c>
      <c r="K639" s="1">
        <v>1.9400000000000001E-6</v>
      </c>
      <c r="L639" s="1">
        <f t="shared" si="127"/>
        <v>11664.790963934731</v>
      </c>
      <c r="M639" s="1">
        <f t="shared" si="128"/>
        <v>102183568.84406824</v>
      </c>
      <c r="N639">
        <f t="shared" si="129"/>
        <v>2.0840312121742354E+36</v>
      </c>
      <c r="O639">
        <v>11.4203163</v>
      </c>
      <c r="P639" s="1">
        <f t="shared" si="130"/>
        <v>2.4309788452327964E+40</v>
      </c>
      <c r="Q639" s="1">
        <f t="shared" si="131"/>
        <v>2.1286440597383425E+39</v>
      </c>
    </row>
    <row r="640" spans="1:17" x14ac:dyDescent="0.2">
      <c r="A640">
        <f t="shared" si="132"/>
        <v>639</v>
      </c>
      <c r="B640">
        <f t="shared" si="137"/>
        <v>166.66666666666666</v>
      </c>
      <c r="C640">
        <f t="shared" si="133"/>
        <v>639000</v>
      </c>
      <c r="E640" t="s">
        <v>11</v>
      </c>
      <c r="F640">
        <v>10.99306706</v>
      </c>
      <c r="G640">
        <v>43.429000000000002</v>
      </c>
      <c r="H640">
        <f t="shared" si="125"/>
        <v>0.25312733565129292</v>
      </c>
      <c r="I640">
        <v>502.01586959999997</v>
      </c>
      <c r="J640">
        <f t="shared" si="126"/>
        <v>1983.2542712477912</v>
      </c>
      <c r="K640" s="1">
        <v>2.0200000000000001E-6</v>
      </c>
      <c r="L640" s="1">
        <f t="shared" si="127"/>
        <v>10879.798357670965</v>
      </c>
      <c r="M640" s="1">
        <f t="shared" si="128"/>
        <v>95307033.613197654</v>
      </c>
      <c r="N640">
        <f t="shared" si="129"/>
        <v>6.5751084066556285E+32</v>
      </c>
      <c r="O640">
        <v>12.80793796</v>
      </c>
      <c r="P640" s="1">
        <f t="shared" si="130"/>
        <v>7.1535853644240462E+36</v>
      </c>
      <c r="Q640" s="1">
        <f t="shared" si="131"/>
        <v>5.5852748403100837E+35</v>
      </c>
    </row>
    <row r="641" spans="1:17" x14ac:dyDescent="0.2">
      <c r="A641">
        <f t="shared" si="132"/>
        <v>640</v>
      </c>
      <c r="B641">
        <f t="shared" si="137"/>
        <v>166.66666666666666</v>
      </c>
      <c r="C641">
        <f t="shared" si="133"/>
        <v>640000</v>
      </c>
      <c r="E641" t="s">
        <v>11</v>
      </c>
      <c r="F641">
        <v>10.95225065</v>
      </c>
      <c r="G641">
        <v>43.429000000000002</v>
      </c>
      <c r="H641">
        <f t="shared" si="125"/>
        <v>0.25218749337999952</v>
      </c>
      <c r="I641">
        <v>532.04238750000002</v>
      </c>
      <c r="J641">
        <f t="shared" si="126"/>
        <v>2109.7096464586029</v>
      </c>
      <c r="K641" s="1">
        <v>2.0499999999999999E-6</v>
      </c>
      <c r="L641" s="1">
        <f t="shared" si="127"/>
        <v>10641.12020162417</v>
      </c>
      <c r="M641" s="1">
        <f t="shared" si="128"/>
        <v>93216212.966227725</v>
      </c>
      <c r="N641">
        <f t="shared" si="129"/>
        <v>8.0595568721879017E+34</v>
      </c>
      <c r="O641">
        <v>13.872414839999999</v>
      </c>
      <c r="P641" s="1">
        <f t="shared" si="130"/>
        <v>8.5762713448777582E+38</v>
      </c>
      <c r="Q641" s="1">
        <f t="shared" si="131"/>
        <v>6.1822483279181972E+37</v>
      </c>
    </row>
    <row r="642" spans="1:17" x14ac:dyDescent="0.2">
      <c r="A642">
        <f t="shared" si="132"/>
        <v>641</v>
      </c>
      <c r="B642">
        <f t="shared" si="137"/>
        <v>166.66666666666666</v>
      </c>
      <c r="C642">
        <f t="shared" si="133"/>
        <v>641000</v>
      </c>
      <c r="E642" t="s">
        <v>11</v>
      </c>
      <c r="F642">
        <v>10.894636029999999</v>
      </c>
      <c r="G642">
        <v>43.429000000000002</v>
      </c>
      <c r="H642">
        <f t="shared" si="125"/>
        <v>0.25086085403762459</v>
      </c>
      <c r="I642">
        <v>563.86484810000002</v>
      </c>
      <c r="J642">
        <f t="shared" si="126"/>
        <v>2247.7195585702284</v>
      </c>
      <c r="K642" s="1">
        <v>2.08E-6</v>
      </c>
      <c r="L642" s="1">
        <f t="shared" si="127"/>
        <v>10377.591660745593</v>
      </c>
      <c r="M642" s="1">
        <f t="shared" si="128"/>
        <v>90907702.948131397</v>
      </c>
      <c r="N642">
        <f t="shared" si="129"/>
        <v>1.5330007943215727E+37</v>
      </c>
      <c r="O642">
        <v>15.279045010000001</v>
      </c>
      <c r="P642" s="1">
        <f t="shared" si="130"/>
        <v>1.5908856259067922E+41</v>
      </c>
      <c r="Q642" s="1">
        <f t="shared" si="131"/>
        <v>1.0412205899423501E+40</v>
      </c>
    </row>
    <row r="643" spans="1:17" x14ac:dyDescent="0.2">
      <c r="A643">
        <f t="shared" si="132"/>
        <v>642</v>
      </c>
      <c r="B643">
        <f t="shared" si="137"/>
        <v>166.66666666666666</v>
      </c>
      <c r="C643">
        <f t="shared" si="133"/>
        <v>642000</v>
      </c>
      <c r="E643" t="s">
        <v>11</v>
      </c>
      <c r="F643">
        <v>10.810570869999999</v>
      </c>
      <c r="G643">
        <v>43.429000000000002</v>
      </c>
      <c r="H643">
        <f t="shared" ref="H643:H706" si="138">F643/43.429</f>
        <v>0.24892516221879388</v>
      </c>
      <c r="I643">
        <v>597.59067030000006</v>
      </c>
      <c r="J643">
        <f t="shared" ref="J643:J706" si="139">I643/H643</f>
        <v>2400.6840649349265</v>
      </c>
      <c r="K643" s="1">
        <v>2.1299999999999999E-6</v>
      </c>
      <c r="L643" s="1">
        <f t="shared" ref="L643:L706" si="140">((H643^2)*0.343)/(K643)</f>
        <v>9978.1979250135828</v>
      </c>
      <c r="M643" s="1">
        <f t="shared" ref="M643:M706" si="141">L643*8760</f>
        <v>87409013.823118985</v>
      </c>
      <c r="N643">
        <f t="shared" ref="N643:N706" si="142">EXP((J643+3.9052)/(26.297))</f>
        <v>5.1493030338215965E+39</v>
      </c>
      <c r="O643">
        <v>16.670468369999998</v>
      </c>
      <c r="P643" s="1">
        <f t="shared" ref="P643:P706" si="143">L643*N643</f>
        <v>5.1380764847344797E+43</v>
      </c>
      <c r="Q643" s="1">
        <f t="shared" ref="Q643:Q706" si="144">P643/O643</f>
        <v>3.0821428472765103E+42</v>
      </c>
    </row>
    <row r="644" spans="1:17" x14ac:dyDescent="0.2">
      <c r="A644">
        <f t="shared" ref="A644:A707" si="145">A643+1</f>
        <v>643</v>
      </c>
      <c r="B644">
        <f t="shared" si="137"/>
        <v>166.66666666666666</v>
      </c>
      <c r="C644">
        <f t="shared" ref="C644:C707" si="146">C643+1000</f>
        <v>643000</v>
      </c>
      <c r="E644" t="s">
        <v>11</v>
      </c>
      <c r="F644">
        <v>10.728006819999999</v>
      </c>
      <c r="G644">
        <v>43.429000000000002</v>
      </c>
      <c r="H644">
        <f t="shared" si="138"/>
        <v>0.24702403509175894</v>
      </c>
      <c r="I644">
        <v>532.04238750000002</v>
      </c>
      <c r="J644">
        <f t="shared" si="139"/>
        <v>2153.8081802540746</v>
      </c>
      <c r="K644" s="1">
        <v>2.1799999999999999E-6</v>
      </c>
      <c r="L644" s="1">
        <f t="shared" si="140"/>
        <v>9600.9907120018306</v>
      </c>
      <c r="M644" s="1">
        <f t="shared" si="141"/>
        <v>84104678.637136042</v>
      </c>
      <c r="N644">
        <f t="shared" si="142"/>
        <v>4.3111948967675425E+35</v>
      </c>
      <c r="O644">
        <v>18.035279809999999</v>
      </c>
      <c r="P644" s="1">
        <f t="shared" si="143"/>
        <v>4.1391742161494866E+39</v>
      </c>
      <c r="Q644" s="1">
        <f t="shared" si="144"/>
        <v>2.2950429711960686E+38</v>
      </c>
    </row>
    <row r="645" spans="1:17" x14ac:dyDescent="0.2">
      <c r="A645">
        <f t="shared" si="145"/>
        <v>644</v>
      </c>
      <c r="B645">
        <f t="shared" si="137"/>
        <v>166.66666666666666</v>
      </c>
      <c r="C645">
        <f t="shared" si="146"/>
        <v>644000</v>
      </c>
      <c r="E645" t="s">
        <v>11</v>
      </c>
      <c r="F645">
        <v>10.57085994</v>
      </c>
      <c r="G645">
        <v>43.429000000000002</v>
      </c>
      <c r="H645">
        <f t="shared" si="138"/>
        <v>0.24340555711621265</v>
      </c>
      <c r="I645">
        <v>473.68393809999998</v>
      </c>
      <c r="J645">
        <f t="shared" si="139"/>
        <v>1946.068708175969</v>
      </c>
      <c r="K645" s="1">
        <v>2.2800000000000002E-6</v>
      </c>
      <c r="L645" s="1">
        <f t="shared" si="140"/>
        <v>8912.9249893085398</v>
      </c>
      <c r="M645" s="1">
        <f t="shared" si="141"/>
        <v>78077222.906342804</v>
      </c>
      <c r="N645">
        <f t="shared" si="142"/>
        <v>1.5987627187656964E+32</v>
      </c>
      <c r="O645">
        <v>20.749695859999999</v>
      </c>
      <c r="P645" s="1">
        <f t="shared" si="143"/>
        <v>1.4249652188061636E+36</v>
      </c>
      <c r="Q645" s="1">
        <f t="shared" si="144"/>
        <v>6.8674029172308248E+34</v>
      </c>
    </row>
    <row r="646" spans="1:17" x14ac:dyDescent="0.2">
      <c r="A646">
        <f t="shared" si="145"/>
        <v>645</v>
      </c>
      <c r="B646">
        <f t="shared" si="137"/>
        <v>166.66666666666666</v>
      </c>
      <c r="C646">
        <f t="shared" si="146"/>
        <v>645000</v>
      </c>
      <c r="E646" t="s">
        <v>11</v>
      </c>
      <c r="F646">
        <v>10.555946970000001</v>
      </c>
      <c r="G646">
        <v>43.429000000000002</v>
      </c>
      <c r="H646">
        <f t="shared" si="138"/>
        <v>0.24306216974832487</v>
      </c>
      <c r="I646">
        <v>1909.763363</v>
      </c>
      <c r="J646">
        <f t="shared" si="139"/>
        <v>7857.0983093643745</v>
      </c>
      <c r="K646" s="1">
        <v>2.2900000000000001E-6</v>
      </c>
      <c r="L646" s="1">
        <f t="shared" si="140"/>
        <v>8848.9833617588993</v>
      </c>
      <c r="M646" s="1">
        <f t="shared" si="141"/>
        <v>77517094.249007955</v>
      </c>
      <c r="N646">
        <f t="shared" si="142"/>
        <v>6.6731599338934032E+129</v>
      </c>
      <c r="O646">
        <v>21.354166670000001</v>
      </c>
      <c r="P646" s="1">
        <f t="shared" si="143"/>
        <v>5.9050681225378838E+133</v>
      </c>
      <c r="Q646" s="1">
        <f t="shared" si="144"/>
        <v>2.7653001935373033E+132</v>
      </c>
    </row>
    <row r="647" spans="1:17" x14ac:dyDescent="0.2">
      <c r="A647">
        <f t="shared" si="145"/>
        <v>646</v>
      </c>
      <c r="B647">
        <f t="shared" si="137"/>
        <v>166.66666666666666</v>
      </c>
      <c r="C647">
        <f t="shared" si="146"/>
        <v>646000</v>
      </c>
      <c r="E647" t="s">
        <v>11</v>
      </c>
      <c r="F647">
        <v>10.61266603</v>
      </c>
      <c r="G647">
        <v>43.429000000000002</v>
      </c>
      <c r="H647">
        <f t="shared" si="138"/>
        <v>0.24436818784683045</v>
      </c>
      <c r="I647">
        <v>1909.763363</v>
      </c>
      <c r="J647">
        <f t="shared" si="139"/>
        <v>7815.1062944291107</v>
      </c>
      <c r="K647" s="1">
        <v>2.26E-6</v>
      </c>
      <c r="L647" s="1">
        <f t="shared" si="140"/>
        <v>9063.0633860263406</v>
      </c>
      <c r="M647" s="1">
        <f t="shared" si="141"/>
        <v>79392435.261590749</v>
      </c>
      <c r="N647">
        <f t="shared" si="142"/>
        <v>1.3515563658406739E+129</v>
      </c>
      <c r="O647">
        <v>21.951034060000001</v>
      </c>
      <c r="P647" s="1">
        <f t="shared" si="143"/>
        <v>1.2249241013401434E+133</v>
      </c>
      <c r="Q647" s="1">
        <f t="shared" si="144"/>
        <v>5.5802569391127052E+131</v>
      </c>
    </row>
    <row r="648" spans="1:17" x14ac:dyDescent="0.2">
      <c r="A648">
        <f t="shared" si="145"/>
        <v>647</v>
      </c>
      <c r="B648">
        <f t="shared" si="137"/>
        <v>166.66666666666666</v>
      </c>
      <c r="C648">
        <f t="shared" si="146"/>
        <v>647000</v>
      </c>
      <c r="E648" t="s">
        <v>11</v>
      </c>
      <c r="F648">
        <v>10.631753420000001</v>
      </c>
      <c r="G648">
        <v>43.429000000000002</v>
      </c>
      <c r="H648">
        <f t="shared" si="138"/>
        <v>0.24480769577931796</v>
      </c>
      <c r="I648">
        <v>532.04238750000002</v>
      </c>
      <c r="J648">
        <f t="shared" si="139"/>
        <v>2173.3074436500146</v>
      </c>
      <c r="K648" s="1">
        <v>2.2400000000000002E-6</v>
      </c>
      <c r="L648" s="1">
        <f t="shared" si="140"/>
        <v>9176.9049616442971</v>
      </c>
      <c r="M648" s="1">
        <f t="shared" si="141"/>
        <v>80389687.46400404</v>
      </c>
      <c r="N648">
        <f t="shared" si="142"/>
        <v>9.0495636854398686E+35</v>
      </c>
      <c r="O648">
        <v>24.433546230000001</v>
      </c>
      <c r="P648" s="1">
        <f t="shared" si="143"/>
        <v>8.3046985885629182E+39</v>
      </c>
      <c r="Q648" s="1">
        <f t="shared" si="144"/>
        <v>3.3988920439089768E+38</v>
      </c>
    </row>
    <row r="649" spans="1:17" x14ac:dyDescent="0.2">
      <c r="A649">
        <f t="shared" si="145"/>
        <v>648</v>
      </c>
      <c r="B649">
        <f t="shared" si="137"/>
        <v>166.66666666666666</v>
      </c>
      <c r="C649">
        <f t="shared" si="146"/>
        <v>648000</v>
      </c>
      <c r="E649" t="s">
        <v>11</v>
      </c>
      <c r="F649">
        <v>10.5916736</v>
      </c>
      <c r="G649">
        <v>43.429000000000002</v>
      </c>
      <c r="H649">
        <f t="shared" si="138"/>
        <v>0.24388481429459577</v>
      </c>
      <c r="I649">
        <v>3039.5539570000001</v>
      </c>
      <c r="J649">
        <f t="shared" si="139"/>
        <v>12463.071822620459</v>
      </c>
      <c r="K649" s="1">
        <v>2.2699999999999999E-6</v>
      </c>
      <c r="L649" s="1">
        <f t="shared" si="140"/>
        <v>8987.4767871029726</v>
      </c>
      <c r="M649" s="1">
        <f t="shared" si="141"/>
        <v>78730296.65502204</v>
      </c>
      <c r="N649">
        <f t="shared" si="142"/>
        <v>7.7965279681808221E+205</v>
      </c>
      <c r="O649">
        <v>26.045468369999998</v>
      </c>
      <c r="P649" s="1">
        <f t="shared" si="143"/>
        <v>7.0071114134024242E+209</v>
      </c>
      <c r="Q649" s="1">
        <f t="shared" si="144"/>
        <v>2.6903380326511765E+208</v>
      </c>
    </row>
    <row r="650" spans="1:17" x14ac:dyDescent="0.2">
      <c r="A650">
        <f t="shared" si="145"/>
        <v>649</v>
      </c>
      <c r="B650">
        <f t="shared" si="137"/>
        <v>166.66666666666666</v>
      </c>
      <c r="C650">
        <f t="shared" si="146"/>
        <v>649000</v>
      </c>
      <c r="E650" t="s">
        <v>11</v>
      </c>
      <c r="F650">
        <v>10.54219958</v>
      </c>
      <c r="G650">
        <v>43.429000000000002</v>
      </c>
      <c r="H650">
        <f t="shared" si="138"/>
        <v>0.24274562112873885</v>
      </c>
      <c r="I650">
        <v>473.68393809999998</v>
      </c>
      <c r="J650">
        <f t="shared" si="139"/>
        <v>1951.3593526318821</v>
      </c>
      <c r="K650" s="1">
        <v>2.3E-6</v>
      </c>
      <c r="L650" s="1">
        <f t="shared" si="140"/>
        <v>8787.5759765094735</v>
      </c>
      <c r="M650" s="1">
        <f t="shared" si="141"/>
        <v>76979165.554222986</v>
      </c>
      <c r="N650">
        <f t="shared" si="142"/>
        <v>1.955054689036936E+32</v>
      </c>
      <c r="O650">
        <v>26.893248180000001</v>
      </c>
      <c r="P650" s="1">
        <f t="shared" si="143"/>
        <v>1.7180191618143177E+36</v>
      </c>
      <c r="Q650" s="1">
        <f t="shared" si="144"/>
        <v>6.3882917761193906E+34</v>
      </c>
    </row>
    <row r="651" spans="1:17" x14ac:dyDescent="0.2">
      <c r="A651">
        <f t="shared" si="145"/>
        <v>650</v>
      </c>
      <c r="B651">
        <f>3000/18</f>
        <v>166.66666666666666</v>
      </c>
      <c r="C651">
        <f t="shared" si="146"/>
        <v>650000</v>
      </c>
      <c r="E651" t="s">
        <v>11</v>
      </c>
      <c r="F651">
        <v>10.380467299999999</v>
      </c>
      <c r="G651">
        <v>43.429000000000002</v>
      </c>
      <c r="H651">
        <f t="shared" si="138"/>
        <v>0.23902155932671715</v>
      </c>
      <c r="I651">
        <v>421.72668670000002</v>
      </c>
      <c r="J651">
        <f t="shared" si="139"/>
        <v>1764.3876472395712</v>
      </c>
      <c r="K651" s="1">
        <v>2.4200000000000001E-6</v>
      </c>
      <c r="L651" s="1">
        <f t="shared" si="140"/>
        <v>8097.5363211903104</v>
      </c>
      <c r="M651" s="1">
        <f t="shared" si="141"/>
        <v>70934418.173627123</v>
      </c>
      <c r="N651">
        <f t="shared" si="142"/>
        <v>1.5970722353146403E+29</v>
      </c>
      <c r="O651">
        <v>28.292274939999999</v>
      </c>
      <c r="P651" s="1">
        <f t="shared" si="143"/>
        <v>1.2932350433024898E+33</v>
      </c>
      <c r="Q651" s="1">
        <f t="shared" si="144"/>
        <v>4.5709828779943625E+31</v>
      </c>
    </row>
    <row r="652" spans="1:17" x14ac:dyDescent="0.2">
      <c r="A652">
        <f t="shared" si="145"/>
        <v>651</v>
      </c>
      <c r="B652">
        <f t="shared" ref="B652:B700" si="147">3000/18</f>
        <v>166.66666666666666</v>
      </c>
      <c r="C652">
        <f t="shared" si="146"/>
        <v>651000</v>
      </c>
      <c r="E652" t="s">
        <v>11</v>
      </c>
      <c r="F652">
        <v>10.340361079999999</v>
      </c>
      <c r="G652">
        <v>43.429000000000002</v>
      </c>
      <c r="H652">
        <f t="shared" si="138"/>
        <v>0.23809806995325702</v>
      </c>
      <c r="I652">
        <v>2145.048581</v>
      </c>
      <c r="J652">
        <f t="shared" si="139"/>
        <v>9009.0968877702871</v>
      </c>
      <c r="K652" s="1">
        <v>2.4499999999999998E-6</v>
      </c>
      <c r="L652" s="1">
        <f t="shared" si="140"/>
        <v>7936.6967281652514</v>
      </c>
      <c r="M652" s="1">
        <f t="shared" si="141"/>
        <v>69525463.338727608</v>
      </c>
      <c r="N652">
        <f t="shared" si="142"/>
        <v>7.0724083938290151E+148</v>
      </c>
      <c r="O652">
        <v>29.375760339999999</v>
      </c>
      <c r="P652" s="1">
        <f t="shared" si="143"/>
        <v>5.6131560559551208E+152</v>
      </c>
      <c r="Q652" s="1">
        <f t="shared" si="144"/>
        <v>1.9108121767700671E+151</v>
      </c>
    </row>
    <row r="653" spans="1:17" x14ac:dyDescent="0.2">
      <c r="A653">
        <f t="shared" si="145"/>
        <v>652</v>
      </c>
      <c r="B653">
        <f t="shared" si="147"/>
        <v>166.66666666666666</v>
      </c>
      <c r="C653">
        <f t="shared" si="146"/>
        <v>652000</v>
      </c>
      <c r="E653" t="s">
        <v>11</v>
      </c>
      <c r="F653">
        <v>12.16362988</v>
      </c>
      <c r="G653">
        <v>43.429000000000002</v>
      </c>
      <c r="H653">
        <f t="shared" si="138"/>
        <v>0.28008081880770913</v>
      </c>
      <c r="I653">
        <v>446.95095679999997</v>
      </c>
      <c r="J653">
        <f t="shared" si="139"/>
        <v>1595.7928097420208</v>
      </c>
      <c r="K653" s="1">
        <v>1.5099999999999999E-6</v>
      </c>
      <c r="L653" s="1">
        <f t="shared" si="140"/>
        <v>17819.023786060203</v>
      </c>
      <c r="M653" s="1">
        <f t="shared" si="141"/>
        <v>156094648.36588737</v>
      </c>
      <c r="N653">
        <f t="shared" si="142"/>
        <v>2.6241209680314323E+26</v>
      </c>
      <c r="O653">
        <v>10.08972019</v>
      </c>
      <c r="P653" s="1">
        <f t="shared" si="143"/>
        <v>4.6759273946851418E+30</v>
      </c>
      <c r="Q653" s="1">
        <f t="shared" si="144"/>
        <v>4.6343479369422851E+29</v>
      </c>
    </row>
    <row r="654" spans="1:17" x14ac:dyDescent="0.2">
      <c r="A654">
        <f t="shared" si="145"/>
        <v>653</v>
      </c>
      <c r="B654">
        <f t="shared" si="147"/>
        <v>166.66666666666666</v>
      </c>
      <c r="C654">
        <f t="shared" si="146"/>
        <v>653000</v>
      </c>
      <c r="E654" t="s">
        <v>11</v>
      </c>
      <c r="F654">
        <v>12.18692573</v>
      </c>
      <c r="G654">
        <v>43.429000000000002</v>
      </c>
      <c r="H654">
        <f t="shared" si="138"/>
        <v>0.28061723111285086</v>
      </c>
      <c r="I654">
        <v>280.82099360000001</v>
      </c>
      <c r="J654">
        <f t="shared" si="139"/>
        <v>1000.7261225062377</v>
      </c>
      <c r="K654" s="1">
        <v>1.5E-6</v>
      </c>
      <c r="L654" s="1">
        <f t="shared" si="140"/>
        <v>18006.592284215334</v>
      </c>
      <c r="M654" s="1">
        <f t="shared" si="141"/>
        <v>157737748.40972632</v>
      </c>
      <c r="N654">
        <f t="shared" si="142"/>
        <v>3.9036261384458568E+16</v>
      </c>
      <c r="O654">
        <v>8.5766423360000008</v>
      </c>
      <c r="P654" s="1">
        <f t="shared" si="143"/>
        <v>7.0291004305000471E+20</v>
      </c>
      <c r="Q654" s="1">
        <f t="shared" si="144"/>
        <v>8.1956319910832374E+19</v>
      </c>
    </row>
    <row r="655" spans="1:17" x14ac:dyDescent="0.2">
      <c r="A655">
        <f t="shared" si="145"/>
        <v>654</v>
      </c>
      <c r="B655">
        <f t="shared" si="147"/>
        <v>166.66666666666666</v>
      </c>
      <c r="C655">
        <f t="shared" si="146"/>
        <v>654000</v>
      </c>
      <c r="E655" t="s">
        <v>11</v>
      </c>
      <c r="F655">
        <v>11.77111088</v>
      </c>
      <c r="G655">
        <v>43.429000000000002</v>
      </c>
      <c r="H655">
        <f t="shared" si="138"/>
        <v>0.27104264155287938</v>
      </c>
      <c r="I655">
        <v>2145.048581</v>
      </c>
      <c r="J655">
        <f t="shared" si="139"/>
        <v>7914.0631478147297</v>
      </c>
      <c r="K655" s="1">
        <v>1.66E-6</v>
      </c>
      <c r="L655" s="1">
        <f t="shared" si="140"/>
        <v>15179.633098919996</v>
      </c>
      <c r="M655" s="1">
        <f t="shared" si="141"/>
        <v>132973585.94653916</v>
      </c>
      <c r="N655">
        <f t="shared" si="142"/>
        <v>5.8224372373675824E+130</v>
      </c>
      <c r="O655">
        <v>7.2080291970000001</v>
      </c>
      <c r="P655" s="1">
        <f t="shared" si="143"/>
        <v>8.838246100472926E+134</v>
      </c>
      <c r="Q655" s="1">
        <f t="shared" si="144"/>
        <v>1.2261668007881303E+134</v>
      </c>
    </row>
    <row r="656" spans="1:17" x14ac:dyDescent="0.2">
      <c r="A656">
        <f t="shared" si="145"/>
        <v>655</v>
      </c>
      <c r="B656">
        <f t="shared" si="147"/>
        <v>166.66666666666666</v>
      </c>
      <c r="C656">
        <f t="shared" si="146"/>
        <v>655000</v>
      </c>
      <c r="E656" t="s">
        <v>11</v>
      </c>
      <c r="F656">
        <v>11.75474105</v>
      </c>
      <c r="G656">
        <v>43.429000000000002</v>
      </c>
      <c r="H656">
        <f t="shared" si="138"/>
        <v>0.2706657083976145</v>
      </c>
      <c r="I656">
        <v>502.01586959999997</v>
      </c>
      <c r="J656">
        <f t="shared" si="139"/>
        <v>1854.7450010273428</v>
      </c>
      <c r="K656" s="1">
        <v>1.66E-6</v>
      </c>
      <c r="L656" s="1">
        <f t="shared" si="140"/>
        <v>15137.442479468189</v>
      </c>
      <c r="M656" s="1">
        <f t="shared" si="141"/>
        <v>132603996.12014134</v>
      </c>
      <c r="N656">
        <f t="shared" si="142"/>
        <v>4.9610617405871488E+30</v>
      </c>
      <c r="O656">
        <v>7.0483576640000001</v>
      </c>
      <c r="P656" s="1">
        <f t="shared" si="143"/>
        <v>7.50977867352283E+34</v>
      </c>
      <c r="Q656" s="1">
        <f t="shared" si="144"/>
        <v>1.0654650390231431E+34</v>
      </c>
    </row>
    <row r="657" spans="1:17" x14ac:dyDescent="0.2">
      <c r="A657">
        <f t="shared" si="145"/>
        <v>656</v>
      </c>
      <c r="B657">
        <f t="shared" si="147"/>
        <v>166.66666666666666</v>
      </c>
      <c r="C657">
        <f t="shared" si="146"/>
        <v>656000</v>
      </c>
      <c r="E657" t="s">
        <v>11</v>
      </c>
      <c r="F657">
        <v>11.576994709999999</v>
      </c>
      <c r="G657">
        <v>43.429000000000002</v>
      </c>
      <c r="H657">
        <f t="shared" si="138"/>
        <v>0.26657290543185425</v>
      </c>
      <c r="I657">
        <v>2023.9899190000001</v>
      </c>
      <c r="J657">
        <f t="shared" si="139"/>
        <v>7592.6318007491791</v>
      </c>
      <c r="K657" s="1">
        <v>1.7400000000000001E-6</v>
      </c>
      <c r="L657" s="1">
        <f t="shared" si="140"/>
        <v>14008.024178885315</v>
      </c>
      <c r="M657" s="1">
        <f t="shared" si="141"/>
        <v>122710291.80703536</v>
      </c>
      <c r="N657">
        <f t="shared" si="142"/>
        <v>2.8620149743969754E+125</v>
      </c>
      <c r="O657">
        <v>6.9495133820000001</v>
      </c>
      <c r="P657" s="1">
        <f t="shared" si="143"/>
        <v>4.0091174961684662E+129</v>
      </c>
      <c r="Q657" s="1">
        <f t="shared" si="144"/>
        <v>5.768918305204677E+128</v>
      </c>
    </row>
    <row r="658" spans="1:17" x14ac:dyDescent="0.2">
      <c r="A658">
        <f t="shared" si="145"/>
        <v>657</v>
      </c>
      <c r="B658">
        <f t="shared" si="147"/>
        <v>166.66666666666666</v>
      </c>
      <c r="C658">
        <f t="shared" si="146"/>
        <v>657000</v>
      </c>
      <c r="E658" t="s">
        <v>11</v>
      </c>
      <c r="F658">
        <v>11.42651131</v>
      </c>
      <c r="G658">
        <v>43.429000000000002</v>
      </c>
      <c r="H658">
        <f t="shared" si="138"/>
        <v>0.26310786133689468</v>
      </c>
      <c r="I658">
        <v>846.79158440000003</v>
      </c>
      <c r="J658">
        <f t="shared" si="139"/>
        <v>3218.4199289877224</v>
      </c>
      <c r="K658" s="1">
        <v>1.81E-6</v>
      </c>
      <c r="L658" s="1">
        <f t="shared" si="140"/>
        <v>13118.470230478006</v>
      </c>
      <c r="M658" s="1">
        <f t="shared" si="141"/>
        <v>114917799.21898733</v>
      </c>
      <c r="N658">
        <f t="shared" si="142"/>
        <v>1.6468025617953822E+53</v>
      </c>
      <c r="O658">
        <v>7.0597627740000002</v>
      </c>
      <c r="P658" s="1">
        <f t="shared" si="143"/>
        <v>2.1603530382387639E+57</v>
      </c>
      <c r="Q658" s="1">
        <f t="shared" si="144"/>
        <v>3.0600929626063435E+56</v>
      </c>
    </row>
    <row r="659" spans="1:17" x14ac:dyDescent="0.2">
      <c r="A659">
        <f t="shared" si="145"/>
        <v>658</v>
      </c>
      <c r="B659">
        <f t="shared" si="147"/>
        <v>166.66666666666666</v>
      </c>
      <c r="C659">
        <f t="shared" si="146"/>
        <v>658000</v>
      </c>
      <c r="E659" t="s">
        <v>11</v>
      </c>
      <c r="F659">
        <v>11.479929609999999</v>
      </c>
      <c r="G659">
        <v>43.429000000000002</v>
      </c>
      <c r="H659">
        <f t="shared" si="138"/>
        <v>0.26433787584333046</v>
      </c>
      <c r="I659">
        <v>502.01586959999997</v>
      </c>
      <c r="J659">
        <f t="shared" si="139"/>
        <v>1899.1446761021039</v>
      </c>
      <c r="K659" s="1">
        <v>1.7799999999999999E-6</v>
      </c>
      <c r="L659" s="1">
        <f t="shared" si="140"/>
        <v>13464.583046988681</v>
      </c>
      <c r="M659" s="1">
        <f t="shared" si="141"/>
        <v>117949747.49162084</v>
      </c>
      <c r="N659">
        <f t="shared" si="142"/>
        <v>2.684321111197367E+31</v>
      </c>
      <c r="O659">
        <v>7.2232360099999999</v>
      </c>
      <c r="P659" s="1">
        <f t="shared" si="143"/>
        <v>3.6143264526501883E+35</v>
      </c>
      <c r="Q659" s="1">
        <f t="shared" si="144"/>
        <v>5.0037496319467319E+34</v>
      </c>
    </row>
    <row r="660" spans="1:17" x14ac:dyDescent="0.2">
      <c r="A660">
        <f t="shared" si="145"/>
        <v>659</v>
      </c>
      <c r="B660">
        <f t="shared" si="147"/>
        <v>166.66666666666666</v>
      </c>
      <c r="C660">
        <f t="shared" si="146"/>
        <v>659000</v>
      </c>
      <c r="E660" t="s">
        <v>11</v>
      </c>
      <c r="F660">
        <v>11.37679108</v>
      </c>
      <c r="G660">
        <v>43.429000000000002</v>
      </c>
      <c r="H660">
        <f t="shared" si="138"/>
        <v>0.26196299891777386</v>
      </c>
      <c r="I660">
        <v>446.95095679999997</v>
      </c>
      <c r="J660">
        <f t="shared" si="139"/>
        <v>1706.1606358396095</v>
      </c>
      <c r="K660" s="1">
        <v>1.8300000000000001E-6</v>
      </c>
      <c r="L660" s="1">
        <f t="shared" si="140"/>
        <v>12862.42742682175</v>
      </c>
      <c r="M660" s="1">
        <f t="shared" si="141"/>
        <v>112674864.25895853</v>
      </c>
      <c r="N660">
        <f t="shared" si="142"/>
        <v>1.7446427655594433E+28</v>
      </c>
      <c r="O660">
        <v>7.5996046230000003</v>
      </c>
      <c r="P660" s="1">
        <f t="shared" si="143"/>
        <v>2.2440340957737931E+32</v>
      </c>
      <c r="Q660" s="1">
        <f t="shared" si="144"/>
        <v>2.9528300577404828E+31</v>
      </c>
    </row>
    <row r="661" spans="1:17" x14ac:dyDescent="0.2">
      <c r="A661">
        <f t="shared" si="145"/>
        <v>660</v>
      </c>
      <c r="B661">
        <f t="shared" si="147"/>
        <v>166.66666666666666</v>
      </c>
      <c r="C661">
        <f t="shared" si="146"/>
        <v>660000</v>
      </c>
      <c r="E661" t="s">
        <v>11</v>
      </c>
      <c r="F661">
        <v>11.37420549</v>
      </c>
      <c r="G661">
        <v>43.429000000000002</v>
      </c>
      <c r="H661">
        <f t="shared" si="138"/>
        <v>0.26190346289345828</v>
      </c>
      <c r="I661">
        <v>473.68393809999998</v>
      </c>
      <c r="J661">
        <f t="shared" si="139"/>
        <v>1808.6203705244382</v>
      </c>
      <c r="K661" s="1">
        <v>1.8300000000000001E-6</v>
      </c>
      <c r="L661" s="1">
        <f t="shared" si="140"/>
        <v>12856.581633511301</v>
      </c>
      <c r="M661" s="1">
        <f t="shared" si="141"/>
        <v>112623655.109559</v>
      </c>
      <c r="N661">
        <f t="shared" si="142"/>
        <v>8.5867177754829584E+29</v>
      </c>
      <c r="O661">
        <v>7.5805961069999999</v>
      </c>
      <c r="P661" s="1">
        <f t="shared" si="143"/>
        <v>1.1039583804441922E+34</v>
      </c>
      <c r="Q661" s="1">
        <f t="shared" si="144"/>
        <v>1.456294946811354E+33</v>
      </c>
    </row>
    <row r="662" spans="1:17" x14ac:dyDescent="0.2">
      <c r="A662">
        <f t="shared" si="145"/>
        <v>661</v>
      </c>
      <c r="B662">
        <f t="shared" si="147"/>
        <v>166.66666666666666</v>
      </c>
      <c r="C662">
        <f t="shared" si="146"/>
        <v>661000</v>
      </c>
      <c r="E662" t="s">
        <v>11</v>
      </c>
      <c r="F662">
        <v>11.354812900000001</v>
      </c>
      <c r="G662">
        <v>43.429000000000002</v>
      </c>
      <c r="H662">
        <f t="shared" si="138"/>
        <v>0.26145692739874277</v>
      </c>
      <c r="I662">
        <v>421.72668670000002</v>
      </c>
      <c r="J662">
        <f t="shared" si="139"/>
        <v>1612.9872361608268</v>
      </c>
      <c r="K662" s="1">
        <v>1.84E-6</v>
      </c>
      <c r="L662" s="1">
        <f t="shared" si="140"/>
        <v>12743.144367110581</v>
      </c>
      <c r="M662" s="1">
        <f t="shared" si="141"/>
        <v>111629944.65588869</v>
      </c>
      <c r="N662">
        <f t="shared" si="142"/>
        <v>5.0460261224377135E+26</v>
      </c>
      <c r="O662">
        <v>7.7478710460000002</v>
      </c>
      <c r="P662" s="1">
        <f t="shared" si="143"/>
        <v>6.4302239358434997E+30</v>
      </c>
      <c r="Q662" s="1">
        <f t="shared" si="144"/>
        <v>8.2993430036025656E+29</v>
      </c>
    </row>
    <row r="663" spans="1:17" x14ac:dyDescent="0.2">
      <c r="A663">
        <f t="shared" si="145"/>
        <v>662</v>
      </c>
      <c r="B663">
        <f t="shared" si="147"/>
        <v>166.66666666666666</v>
      </c>
      <c r="C663">
        <f t="shared" si="146"/>
        <v>662000</v>
      </c>
      <c r="E663" t="s">
        <v>11</v>
      </c>
      <c r="F663">
        <v>11.35855542</v>
      </c>
      <c r="G663">
        <v>43.429000000000002</v>
      </c>
      <c r="H663">
        <f t="shared" si="138"/>
        <v>0.26154310299569411</v>
      </c>
      <c r="I663">
        <v>532.04238750000002</v>
      </c>
      <c r="J663">
        <f t="shared" si="139"/>
        <v>2034.2436157024536</v>
      </c>
      <c r="K663" s="1">
        <v>1.84E-6</v>
      </c>
      <c r="L663" s="1">
        <f t="shared" si="140"/>
        <v>12751.545973121401</v>
      </c>
      <c r="M663" s="1">
        <f t="shared" si="141"/>
        <v>111703542.72454348</v>
      </c>
      <c r="N663">
        <f t="shared" si="142"/>
        <v>4.5707874257585789E+33</v>
      </c>
      <c r="O663">
        <v>8.0558090020000002</v>
      </c>
      <c r="P663" s="1">
        <f t="shared" si="143"/>
        <v>5.8284605992925738E+37</v>
      </c>
      <c r="Q663" s="1">
        <f t="shared" si="144"/>
        <v>7.2351027660233173E+36</v>
      </c>
    </row>
    <row r="664" spans="1:17" x14ac:dyDescent="0.2">
      <c r="A664">
        <f t="shared" si="145"/>
        <v>663</v>
      </c>
      <c r="B664">
        <f t="shared" si="147"/>
        <v>166.66666666666666</v>
      </c>
      <c r="C664">
        <f t="shared" si="146"/>
        <v>663000</v>
      </c>
      <c r="E664" t="s">
        <v>11</v>
      </c>
      <c r="F664">
        <v>11.396695279999999</v>
      </c>
      <c r="G664">
        <v>43.429000000000002</v>
      </c>
      <c r="H664">
        <f t="shared" si="138"/>
        <v>0.26242131478965663</v>
      </c>
      <c r="I664">
        <v>502.01586959999997</v>
      </c>
      <c r="J664">
        <f t="shared" si="139"/>
        <v>1913.0148402860871</v>
      </c>
      <c r="K664" s="1">
        <v>1.8199999999999999E-6</v>
      </c>
      <c r="L664" s="1">
        <f t="shared" si="140"/>
        <v>12978.39375515643</v>
      </c>
      <c r="M664" s="1">
        <f t="shared" si="141"/>
        <v>113690729.29517034</v>
      </c>
      <c r="N664">
        <f t="shared" si="142"/>
        <v>4.5488328527263918E+31</v>
      </c>
      <c r="O664">
        <v>8.3637469590000002</v>
      </c>
      <c r="P664" s="1">
        <f t="shared" si="143"/>
        <v>5.9036543889074615E+35</v>
      </c>
      <c r="Q664" s="1">
        <f t="shared" si="144"/>
        <v>7.0586238654132163E+34</v>
      </c>
    </row>
    <row r="665" spans="1:17" x14ac:dyDescent="0.2">
      <c r="A665">
        <f t="shared" si="145"/>
        <v>664</v>
      </c>
      <c r="B665">
        <f t="shared" si="147"/>
        <v>166.66666666666666</v>
      </c>
      <c r="C665">
        <f t="shared" si="146"/>
        <v>664000</v>
      </c>
      <c r="E665" t="s">
        <v>11</v>
      </c>
      <c r="F665">
        <v>11.3717579</v>
      </c>
      <c r="G665">
        <v>43.429000000000002</v>
      </c>
      <c r="H665">
        <f t="shared" si="138"/>
        <v>0.26184710446936377</v>
      </c>
      <c r="I665">
        <v>502.01586959999997</v>
      </c>
      <c r="J665">
        <f t="shared" si="139"/>
        <v>1917.2099329390753</v>
      </c>
      <c r="K665" s="1">
        <v>1.8300000000000001E-6</v>
      </c>
      <c r="L665" s="1">
        <f t="shared" si="140"/>
        <v>12851.049070389912</v>
      </c>
      <c r="M665" s="1">
        <f t="shared" si="141"/>
        <v>112575189.85661563</v>
      </c>
      <c r="N665">
        <f t="shared" si="142"/>
        <v>5.3355827355300358E+31</v>
      </c>
      <c r="O665">
        <v>9.3445863750000004</v>
      </c>
      <c r="P665" s="1">
        <f t="shared" si="143"/>
        <v>6.8567835553421736E+35</v>
      </c>
      <c r="Q665" s="1">
        <f t="shared" si="144"/>
        <v>7.3377068606123008E+34</v>
      </c>
    </row>
    <row r="666" spans="1:17" x14ac:dyDescent="0.2">
      <c r="A666">
        <f t="shared" si="145"/>
        <v>665</v>
      </c>
      <c r="B666">
        <f t="shared" si="147"/>
        <v>166.66666666666666</v>
      </c>
      <c r="C666">
        <f t="shared" si="146"/>
        <v>665000</v>
      </c>
      <c r="E666" t="s">
        <v>11</v>
      </c>
      <c r="F666">
        <v>11.377935730000001</v>
      </c>
      <c r="G666">
        <v>43.429000000000002</v>
      </c>
      <c r="H666">
        <f t="shared" si="138"/>
        <v>0.26198935573004212</v>
      </c>
      <c r="I666">
        <v>375.46850110000003</v>
      </c>
      <c r="J666">
        <f t="shared" si="139"/>
        <v>1433.1441063845684</v>
      </c>
      <c r="K666" s="1">
        <v>1.8300000000000001E-6</v>
      </c>
      <c r="L666" s="1">
        <f t="shared" si="140"/>
        <v>12865.015804881967</v>
      </c>
      <c r="M666" s="1">
        <f t="shared" si="141"/>
        <v>112697538.45076603</v>
      </c>
      <c r="N666">
        <f t="shared" si="142"/>
        <v>5.4055942216450859E+23</v>
      </c>
      <c r="O666">
        <v>9.9034367400000001</v>
      </c>
      <c r="P666" s="1">
        <f t="shared" si="143"/>
        <v>6.9543055096242665E+27</v>
      </c>
      <c r="Q666" s="1">
        <f t="shared" si="144"/>
        <v>7.0221133251003794E+26</v>
      </c>
    </row>
    <row r="667" spans="1:17" x14ac:dyDescent="0.2">
      <c r="A667">
        <f t="shared" si="145"/>
        <v>666</v>
      </c>
      <c r="B667">
        <f t="shared" si="147"/>
        <v>166.66666666666666</v>
      </c>
      <c r="C667">
        <f t="shared" si="146"/>
        <v>666000</v>
      </c>
      <c r="E667" t="s">
        <v>11</v>
      </c>
      <c r="F667">
        <v>11.45566105</v>
      </c>
      <c r="G667">
        <v>43.429000000000002</v>
      </c>
      <c r="H667">
        <f t="shared" si="138"/>
        <v>0.26377906583158717</v>
      </c>
      <c r="I667">
        <v>753.90905290000001</v>
      </c>
      <c r="J667">
        <f t="shared" si="139"/>
        <v>2858.1079795822088</v>
      </c>
      <c r="K667" s="1">
        <v>1.79E-6</v>
      </c>
      <c r="L667" s="1">
        <f t="shared" si="140"/>
        <v>13332.811553546251</v>
      </c>
      <c r="M667" s="1">
        <f t="shared" si="141"/>
        <v>116795429.20906515</v>
      </c>
      <c r="N667">
        <f t="shared" si="142"/>
        <v>1.8454240310918687E+47</v>
      </c>
      <c r="O667">
        <v>10.76262165</v>
      </c>
      <c r="P667" s="1">
        <f t="shared" si="143"/>
        <v>2.4604690842933562E+51</v>
      </c>
      <c r="Q667" s="1">
        <f t="shared" si="144"/>
        <v>2.2861242960197864E+50</v>
      </c>
    </row>
    <row r="668" spans="1:17" x14ac:dyDescent="0.2">
      <c r="A668">
        <f t="shared" si="145"/>
        <v>667</v>
      </c>
      <c r="B668">
        <f t="shared" si="147"/>
        <v>166.66666666666666</v>
      </c>
      <c r="C668">
        <f t="shared" si="146"/>
        <v>667000</v>
      </c>
      <c r="E668" t="s">
        <v>11</v>
      </c>
      <c r="F668">
        <v>11.224202650000001</v>
      </c>
      <c r="G668">
        <v>43.429000000000002</v>
      </c>
      <c r="H668">
        <f t="shared" si="138"/>
        <v>0.25844948421561631</v>
      </c>
      <c r="I668">
        <v>563.86484810000002</v>
      </c>
      <c r="J668">
        <f t="shared" si="139"/>
        <v>2181.7217001276167</v>
      </c>
      <c r="K668" s="1">
        <v>1.9E-6</v>
      </c>
      <c r="L668" s="1">
        <f t="shared" si="140"/>
        <v>12058.460321432691</v>
      </c>
      <c r="M668" s="1">
        <f t="shared" si="141"/>
        <v>105632112.41575037</v>
      </c>
      <c r="N668">
        <f t="shared" si="142"/>
        <v>1.2462034092952318E+36</v>
      </c>
      <c r="O668">
        <v>11.83850365</v>
      </c>
      <c r="P668" s="1">
        <f t="shared" si="143"/>
        <v>1.5027294363420697E+40</v>
      </c>
      <c r="Q668" s="1">
        <f t="shared" si="144"/>
        <v>1.2693575816417218E+39</v>
      </c>
    </row>
    <row r="669" spans="1:17" x14ac:dyDescent="0.2">
      <c r="A669">
        <f t="shared" si="145"/>
        <v>668</v>
      </c>
      <c r="B669">
        <f t="shared" si="147"/>
        <v>166.66666666666666</v>
      </c>
      <c r="C669">
        <f t="shared" si="146"/>
        <v>668000</v>
      </c>
      <c r="E669" t="s">
        <v>11</v>
      </c>
      <c r="F669">
        <v>11.115876979999999</v>
      </c>
      <c r="G669">
        <v>43.429000000000002</v>
      </c>
      <c r="H669">
        <f t="shared" si="138"/>
        <v>0.25595516774505511</v>
      </c>
      <c r="I669">
        <v>446.95095679999997</v>
      </c>
      <c r="J669">
        <f t="shared" si="139"/>
        <v>1746.2079814117556</v>
      </c>
      <c r="K669" s="1">
        <v>1.9599999999999999E-6</v>
      </c>
      <c r="L669" s="1">
        <f t="shared" si="140"/>
        <v>11464.783381694879</v>
      </c>
      <c r="M669" s="1">
        <f t="shared" si="141"/>
        <v>100431502.42364714</v>
      </c>
      <c r="N669">
        <f t="shared" si="142"/>
        <v>7.9999579746921105E+28</v>
      </c>
      <c r="O669">
        <v>12.15784672</v>
      </c>
      <c r="P669" s="1">
        <f t="shared" si="143"/>
        <v>9.1717785242507522E+32</v>
      </c>
      <c r="Q669" s="1">
        <f t="shared" si="144"/>
        <v>7.543916892094813E+31</v>
      </c>
    </row>
    <row r="670" spans="1:17" x14ac:dyDescent="0.2">
      <c r="A670">
        <f t="shared" si="145"/>
        <v>669</v>
      </c>
      <c r="B670">
        <f t="shared" si="147"/>
        <v>166.66666666666666</v>
      </c>
      <c r="C670">
        <f t="shared" si="146"/>
        <v>669000</v>
      </c>
      <c r="E670" t="s">
        <v>11</v>
      </c>
      <c r="F670">
        <v>11.092043930000001</v>
      </c>
      <c r="G670">
        <v>43.429000000000002</v>
      </c>
      <c r="H670">
        <f t="shared" si="138"/>
        <v>0.25540638582513991</v>
      </c>
      <c r="I670">
        <v>597.59067030000006</v>
      </c>
      <c r="J670">
        <f t="shared" si="139"/>
        <v>2339.7640132190404</v>
      </c>
      <c r="K670" s="1">
        <v>1.9700000000000002E-6</v>
      </c>
      <c r="L670" s="1">
        <f t="shared" si="140"/>
        <v>11357.726253121449</v>
      </c>
      <c r="M670" s="1">
        <f t="shared" si="141"/>
        <v>99493681.977343902</v>
      </c>
      <c r="N670">
        <f t="shared" si="142"/>
        <v>5.0775579942768517E+38</v>
      </c>
      <c r="O670">
        <v>13.066453770000001</v>
      </c>
      <c r="P670" s="1">
        <f t="shared" si="143"/>
        <v>5.7669513733344889E+42</v>
      </c>
      <c r="Q670" s="1">
        <f t="shared" si="144"/>
        <v>4.4135551044271508E+41</v>
      </c>
    </row>
    <row r="671" spans="1:17" x14ac:dyDescent="0.2">
      <c r="A671">
        <f t="shared" si="145"/>
        <v>670</v>
      </c>
      <c r="B671">
        <f t="shared" si="147"/>
        <v>166.66666666666666</v>
      </c>
      <c r="C671">
        <f t="shared" si="146"/>
        <v>670000</v>
      </c>
      <c r="E671" t="s">
        <v>11</v>
      </c>
      <c r="F671">
        <v>10.934934950000001</v>
      </c>
      <c r="G671">
        <v>43.429000000000002</v>
      </c>
      <c r="H671">
        <f t="shared" si="138"/>
        <v>0.25178878053834997</v>
      </c>
      <c r="I671">
        <v>502.01586959999997</v>
      </c>
      <c r="J671">
        <f t="shared" si="139"/>
        <v>1993.7976129303263</v>
      </c>
      <c r="K671" s="1">
        <v>2.0600000000000002E-6</v>
      </c>
      <c r="L671" s="1">
        <f t="shared" si="140"/>
        <v>10556.006491122014</v>
      </c>
      <c r="M671" s="1">
        <f t="shared" si="141"/>
        <v>92470616.862228841</v>
      </c>
      <c r="N671">
        <f t="shared" si="142"/>
        <v>9.818067550756229E+32</v>
      </c>
      <c r="O671">
        <v>14.256386859999999</v>
      </c>
      <c r="P671" s="1">
        <f t="shared" si="143"/>
        <v>1.0363958479605717E+37</v>
      </c>
      <c r="Q671" s="1">
        <f t="shared" si="144"/>
        <v>7.2696950366046096E+35</v>
      </c>
    </row>
    <row r="672" spans="1:17" x14ac:dyDescent="0.2">
      <c r="A672">
        <f t="shared" si="145"/>
        <v>671</v>
      </c>
      <c r="B672">
        <f t="shared" si="147"/>
        <v>166.66666666666666</v>
      </c>
      <c r="C672">
        <f t="shared" si="146"/>
        <v>671000</v>
      </c>
      <c r="E672" t="s">
        <v>11</v>
      </c>
      <c r="F672">
        <v>10.906143419999999</v>
      </c>
      <c r="G672">
        <v>43.429000000000002</v>
      </c>
      <c r="H672">
        <f t="shared" si="138"/>
        <v>0.25112582421883994</v>
      </c>
      <c r="I672">
        <v>397.92598170000002</v>
      </c>
      <c r="J672">
        <f t="shared" si="139"/>
        <v>1584.568146019237</v>
      </c>
      <c r="K672" s="1">
        <v>2.0700000000000001E-6</v>
      </c>
      <c r="L672" s="1">
        <f t="shared" si="140"/>
        <v>10449.765023782586</v>
      </c>
      <c r="M672" s="1">
        <f t="shared" si="141"/>
        <v>91539941.60833545</v>
      </c>
      <c r="N672">
        <f t="shared" si="142"/>
        <v>1.7124138511597247E+26</v>
      </c>
      <c r="O672">
        <v>16.168643549999999</v>
      </c>
      <c r="P672" s="1">
        <f t="shared" si="143"/>
        <v>1.7894322368089728E+30</v>
      </c>
      <c r="Q672" s="1">
        <f t="shared" si="144"/>
        <v>1.1067299685810519E+29</v>
      </c>
    </row>
    <row r="673" spans="1:17" x14ac:dyDescent="0.2">
      <c r="A673">
        <f t="shared" si="145"/>
        <v>672</v>
      </c>
      <c r="B673">
        <f t="shared" si="147"/>
        <v>166.66666666666666</v>
      </c>
      <c r="C673">
        <f t="shared" si="146"/>
        <v>672000</v>
      </c>
      <c r="E673" t="s">
        <v>11</v>
      </c>
      <c r="F673">
        <v>10.98633255</v>
      </c>
      <c r="G673">
        <v>43.429000000000002</v>
      </c>
      <c r="H673">
        <f t="shared" si="138"/>
        <v>0.25297226622763591</v>
      </c>
      <c r="I673">
        <v>671.21458289999998</v>
      </c>
      <c r="J673">
        <f t="shared" si="139"/>
        <v>2653.31292204186</v>
      </c>
      <c r="K673" s="1">
        <v>2.03E-6</v>
      </c>
      <c r="L673" s="1">
        <f t="shared" si="140"/>
        <v>10812.942781161895</v>
      </c>
      <c r="M673" s="1">
        <f t="shared" si="141"/>
        <v>94721378.762978196</v>
      </c>
      <c r="N673">
        <f t="shared" si="142"/>
        <v>7.6543705161398312E+43</v>
      </c>
      <c r="O673">
        <v>20.194647199999999</v>
      </c>
      <c r="P673" s="1">
        <f t="shared" si="143"/>
        <v>8.2766270416832638E+47</v>
      </c>
      <c r="Q673" s="1">
        <f t="shared" si="144"/>
        <v>4.0984261619996334E+46</v>
      </c>
    </row>
    <row r="674" spans="1:17" x14ac:dyDescent="0.2">
      <c r="A674">
        <f t="shared" si="145"/>
        <v>673</v>
      </c>
      <c r="B674">
        <f t="shared" si="147"/>
        <v>166.66666666666666</v>
      </c>
      <c r="C674">
        <f t="shared" si="146"/>
        <v>673000</v>
      </c>
      <c r="E674" t="s">
        <v>11</v>
      </c>
      <c r="F674">
        <v>11.01876066</v>
      </c>
      <c r="G674">
        <v>43.429000000000002</v>
      </c>
      <c r="H674">
        <f t="shared" si="138"/>
        <v>0.25371895876027539</v>
      </c>
      <c r="I674">
        <v>473.68393809999998</v>
      </c>
      <c r="J674">
        <f t="shared" si="139"/>
        <v>1866.9631170430469</v>
      </c>
      <c r="K674" s="1">
        <v>2.0099999999999998E-6</v>
      </c>
      <c r="L674" s="1">
        <f t="shared" si="140"/>
        <v>10985.097184974442</v>
      </c>
      <c r="M674" s="1">
        <f t="shared" si="141"/>
        <v>96229451.340376109</v>
      </c>
      <c r="N674">
        <f t="shared" si="142"/>
        <v>7.8950811460620644E+30</v>
      </c>
      <c r="O674">
        <v>21.430200729999999</v>
      </c>
      <c r="P674" s="1">
        <f t="shared" si="143"/>
        <v>8.6728233672751172E+34</v>
      </c>
      <c r="Q674" s="1">
        <f t="shared" si="144"/>
        <v>4.0470098607775E+33</v>
      </c>
    </row>
    <row r="675" spans="1:17" x14ac:dyDescent="0.2">
      <c r="A675">
        <f t="shared" si="145"/>
        <v>674</v>
      </c>
      <c r="B675">
        <f t="shared" si="147"/>
        <v>166.66666666666666</v>
      </c>
      <c r="C675">
        <f t="shared" si="146"/>
        <v>674000</v>
      </c>
      <c r="E675" t="s">
        <v>11</v>
      </c>
      <c r="F675">
        <v>10.976448899999999</v>
      </c>
      <c r="G675">
        <v>43.429000000000002</v>
      </c>
      <c r="H675">
        <f t="shared" si="138"/>
        <v>0.25274468442745629</v>
      </c>
      <c r="I675">
        <v>473.68393809999998</v>
      </c>
      <c r="J675">
        <f t="shared" si="139"/>
        <v>1874.1598430567924</v>
      </c>
      <c r="K675" s="1">
        <v>2.03E-6</v>
      </c>
      <c r="L675" s="1">
        <f t="shared" si="140"/>
        <v>10793.49620624272</v>
      </c>
      <c r="M675" s="1">
        <f t="shared" si="141"/>
        <v>94551026.766686231</v>
      </c>
      <c r="N675">
        <f t="shared" si="142"/>
        <v>1.0380311795848262E+31</v>
      </c>
      <c r="O675">
        <v>22.677159369999998</v>
      </c>
      <c r="P675" s="1">
        <f t="shared" si="143"/>
        <v>1.1203985598810477E+35</v>
      </c>
      <c r="Q675" s="1">
        <f t="shared" si="144"/>
        <v>4.9406477310524268E+33</v>
      </c>
    </row>
    <row r="676" spans="1:17" x14ac:dyDescent="0.2">
      <c r="A676">
        <f t="shared" si="145"/>
        <v>675</v>
      </c>
      <c r="B676">
        <f t="shared" si="147"/>
        <v>166.66666666666666</v>
      </c>
      <c r="C676">
        <f t="shared" si="146"/>
        <v>675000</v>
      </c>
      <c r="E676" t="s">
        <v>11</v>
      </c>
      <c r="F676">
        <v>11.258264240000001</v>
      </c>
      <c r="G676">
        <v>43.429000000000002</v>
      </c>
      <c r="H676">
        <f t="shared" si="138"/>
        <v>0.25923378940339403</v>
      </c>
      <c r="I676">
        <v>375.46850110000003</v>
      </c>
      <c r="J676">
        <f t="shared" si="139"/>
        <v>1448.37793701242</v>
      </c>
      <c r="K676" s="1">
        <v>1.8899999999999999E-6</v>
      </c>
      <c r="L676" s="1">
        <f t="shared" si="140"/>
        <v>12195.947114273036</v>
      </c>
      <c r="M676" s="1">
        <f t="shared" si="141"/>
        <v>106836496.7210318</v>
      </c>
      <c r="N676">
        <f t="shared" si="142"/>
        <v>9.6478352887105428E+23</v>
      </c>
      <c r="O676">
        <v>14.0586983</v>
      </c>
      <c r="P676" s="1">
        <f t="shared" si="143"/>
        <v>1.1766448894833092E+28</v>
      </c>
      <c r="Q676" s="1">
        <f t="shared" si="144"/>
        <v>8.3695151882113389E+26</v>
      </c>
    </row>
    <row r="677" spans="1:17" x14ac:dyDescent="0.2">
      <c r="A677">
        <f t="shared" si="145"/>
        <v>676</v>
      </c>
      <c r="B677">
        <f t="shared" si="147"/>
        <v>166.66666666666666</v>
      </c>
      <c r="C677">
        <f t="shared" si="146"/>
        <v>676000</v>
      </c>
      <c r="E677" t="s">
        <v>11</v>
      </c>
      <c r="F677">
        <v>10.915974950000001</v>
      </c>
      <c r="G677">
        <v>43.429000000000002</v>
      </c>
      <c r="H677">
        <f t="shared" si="138"/>
        <v>0.25135220589928392</v>
      </c>
      <c r="I677">
        <v>633.33369760000005</v>
      </c>
      <c r="J677">
        <f t="shared" si="139"/>
        <v>2519.7061443485995</v>
      </c>
      <c r="K677" s="1">
        <v>2.0700000000000001E-6</v>
      </c>
      <c r="L677" s="1">
        <f t="shared" si="140"/>
        <v>10468.613755449062</v>
      </c>
      <c r="M677" s="1">
        <f t="shared" si="141"/>
        <v>91705056.497733772</v>
      </c>
      <c r="N677">
        <f t="shared" si="142"/>
        <v>4.7576879166518357E+41</v>
      </c>
      <c r="O677">
        <v>16.670468369999998</v>
      </c>
      <c r="P677" s="1">
        <f t="shared" si="143"/>
        <v>4.9806397168395198E+45</v>
      </c>
      <c r="Q677" s="1">
        <f t="shared" si="144"/>
        <v>2.9877023286296065E+44</v>
      </c>
    </row>
    <row r="678" spans="1:17" x14ac:dyDescent="0.2">
      <c r="A678">
        <f t="shared" si="145"/>
        <v>677</v>
      </c>
      <c r="B678">
        <f t="shared" si="147"/>
        <v>166.66666666666666</v>
      </c>
      <c r="C678">
        <f t="shared" si="146"/>
        <v>677000</v>
      </c>
      <c r="E678" t="s">
        <v>12</v>
      </c>
      <c r="F678">
        <v>35.862824979999999</v>
      </c>
      <c r="G678">
        <v>43.429000000000002</v>
      </c>
      <c r="H678">
        <f t="shared" si="138"/>
        <v>0.82578058394160581</v>
      </c>
      <c r="I678">
        <v>563.86484810000002</v>
      </c>
      <c r="J678">
        <f t="shared" si="139"/>
        <v>682.826478443665</v>
      </c>
      <c r="K678" s="1">
        <v>2.7800000000000001E-6</v>
      </c>
      <c r="L678" s="1">
        <f t="shared" si="140"/>
        <v>84135.379667454763</v>
      </c>
      <c r="M678" s="1">
        <f t="shared" si="141"/>
        <v>737025925.88690376</v>
      </c>
      <c r="N678">
        <f t="shared" si="142"/>
        <v>219463001638.94925</v>
      </c>
      <c r="O678">
        <v>3.2466545010000001</v>
      </c>
      <c r="P678" s="1">
        <f t="shared" si="143"/>
        <v>1.846460296585224E+16</v>
      </c>
      <c r="Q678" s="1">
        <f t="shared" si="144"/>
        <v>5687270684381405</v>
      </c>
    </row>
    <row r="679" spans="1:17" x14ac:dyDescent="0.2">
      <c r="A679">
        <f t="shared" si="145"/>
        <v>678</v>
      </c>
      <c r="B679">
        <f t="shared" si="147"/>
        <v>166.66666666666666</v>
      </c>
      <c r="C679">
        <f t="shared" si="146"/>
        <v>678000</v>
      </c>
      <c r="E679" t="s">
        <v>12</v>
      </c>
      <c r="F679">
        <v>34.50367662</v>
      </c>
      <c r="G679">
        <v>43.429000000000002</v>
      </c>
      <c r="H679">
        <f t="shared" si="138"/>
        <v>0.79448471344032789</v>
      </c>
      <c r="I679">
        <v>711.36119550000001</v>
      </c>
      <c r="J679">
        <f t="shared" si="139"/>
        <v>895.37430168998321</v>
      </c>
      <c r="K679" s="1">
        <v>3.1E-6</v>
      </c>
      <c r="L679" s="1">
        <f t="shared" si="140"/>
        <v>69839.885239481766</v>
      </c>
      <c r="M679" s="1">
        <f t="shared" si="141"/>
        <v>611797394.69786024</v>
      </c>
      <c r="N679">
        <f t="shared" si="142"/>
        <v>710533881502343.88</v>
      </c>
      <c r="O679">
        <v>2.2239963500000002</v>
      </c>
      <c r="P679" s="1">
        <f t="shared" si="143"/>
        <v>4.9623604742887236E+19</v>
      </c>
      <c r="Q679" s="1">
        <f t="shared" si="144"/>
        <v>2.2312808536258269E+19</v>
      </c>
    </row>
    <row r="680" spans="1:17" x14ac:dyDescent="0.2">
      <c r="A680">
        <f t="shared" si="145"/>
        <v>679</v>
      </c>
      <c r="B680">
        <f t="shared" si="147"/>
        <v>166.66666666666666</v>
      </c>
      <c r="C680">
        <f t="shared" si="146"/>
        <v>679000</v>
      </c>
      <c r="E680" t="s">
        <v>12</v>
      </c>
      <c r="F680">
        <v>34.990246659999997</v>
      </c>
      <c r="G680">
        <v>43.429000000000002</v>
      </c>
      <c r="H680">
        <f t="shared" si="138"/>
        <v>0.80568851827120114</v>
      </c>
      <c r="I680">
        <v>473.68393809999998</v>
      </c>
      <c r="J680">
        <f t="shared" si="139"/>
        <v>587.92439926586394</v>
      </c>
      <c r="K680" s="1">
        <v>2.9799999999999998E-6</v>
      </c>
      <c r="L680" s="1">
        <f t="shared" si="140"/>
        <v>74715.757733757375</v>
      </c>
      <c r="M680" s="1">
        <f t="shared" si="141"/>
        <v>654510037.74771464</v>
      </c>
      <c r="N680">
        <f t="shared" si="142"/>
        <v>5943676784.1129475</v>
      </c>
      <c r="O680">
        <v>1.9692822379999999</v>
      </c>
      <c r="P680" s="1">
        <f t="shared" si="143"/>
        <v>444086314649541.12</v>
      </c>
      <c r="Q680" s="1">
        <f t="shared" si="144"/>
        <v>225506687705950.44</v>
      </c>
    </row>
    <row r="681" spans="1:17" x14ac:dyDescent="0.2">
      <c r="A681">
        <f t="shared" si="145"/>
        <v>680</v>
      </c>
      <c r="B681">
        <f t="shared" si="147"/>
        <v>166.66666666666666</v>
      </c>
      <c r="C681">
        <f t="shared" si="146"/>
        <v>680000</v>
      </c>
      <c r="E681" t="s">
        <v>12</v>
      </c>
      <c r="F681">
        <v>34.997305689999997</v>
      </c>
      <c r="G681">
        <v>43.429000000000002</v>
      </c>
      <c r="H681">
        <f t="shared" si="138"/>
        <v>0.80585106012111718</v>
      </c>
      <c r="I681">
        <v>633.33369760000005</v>
      </c>
      <c r="J681">
        <f t="shared" si="139"/>
        <v>785.91904750340802</v>
      </c>
      <c r="K681" s="1">
        <v>2.9799999999999998E-6</v>
      </c>
      <c r="L681" s="1">
        <f t="shared" si="140"/>
        <v>74745.90750561298</v>
      </c>
      <c r="M681" s="1">
        <f t="shared" si="141"/>
        <v>654774149.74916971</v>
      </c>
      <c r="N681">
        <f t="shared" si="142"/>
        <v>11064536815349.613</v>
      </c>
      <c r="O681">
        <v>2.3000304140000001</v>
      </c>
      <c r="P681" s="1">
        <f t="shared" si="143"/>
        <v>8.2702884539257178E+17</v>
      </c>
      <c r="Q681" s="1">
        <f t="shared" si="144"/>
        <v>3.5957300406053318E+17</v>
      </c>
    </row>
    <row r="682" spans="1:17" x14ac:dyDescent="0.2">
      <c r="A682">
        <f t="shared" si="145"/>
        <v>681</v>
      </c>
      <c r="B682">
        <f t="shared" si="147"/>
        <v>166.66666666666666</v>
      </c>
      <c r="C682">
        <f t="shared" si="146"/>
        <v>681000</v>
      </c>
      <c r="E682" t="s">
        <v>12</v>
      </c>
      <c r="F682">
        <v>36.323276040000003</v>
      </c>
      <c r="G682">
        <v>43.429000000000002</v>
      </c>
      <c r="H682">
        <f t="shared" si="138"/>
        <v>0.83638297082594582</v>
      </c>
      <c r="I682">
        <v>354.27843819999998</v>
      </c>
      <c r="J682">
        <f t="shared" si="139"/>
        <v>423.58399268954815</v>
      </c>
      <c r="K682" s="1">
        <v>2.6900000000000001E-6</v>
      </c>
      <c r="L682" s="1">
        <f t="shared" si="140"/>
        <v>89197.401689018137</v>
      </c>
      <c r="M682" s="1">
        <f t="shared" si="141"/>
        <v>781369238.7957989</v>
      </c>
      <c r="N682">
        <f t="shared" si="142"/>
        <v>11480910.371015826</v>
      </c>
      <c r="O682">
        <v>2.5053223839999998</v>
      </c>
      <c r="P682" s="1">
        <f t="shared" si="143"/>
        <v>1024067374119.1129</v>
      </c>
      <c r="Q682" s="1">
        <f t="shared" si="144"/>
        <v>408756725545.27136</v>
      </c>
    </row>
    <row r="683" spans="1:17" x14ac:dyDescent="0.2">
      <c r="A683">
        <f t="shared" si="145"/>
        <v>682</v>
      </c>
      <c r="B683">
        <f t="shared" si="147"/>
        <v>166.66666666666666</v>
      </c>
      <c r="C683">
        <f t="shared" si="146"/>
        <v>682000</v>
      </c>
      <c r="E683" t="s">
        <v>12</v>
      </c>
      <c r="F683">
        <v>34.830443760000001</v>
      </c>
      <c r="G683">
        <v>43.429000000000002</v>
      </c>
      <c r="H683">
        <f t="shared" si="138"/>
        <v>0.80200888254392222</v>
      </c>
      <c r="I683">
        <v>563.86484810000002</v>
      </c>
      <c r="J683">
        <f t="shared" si="139"/>
        <v>703.0655898865557</v>
      </c>
      <c r="K683" s="1">
        <v>3.0199999999999999E-6</v>
      </c>
      <c r="L683" s="1">
        <f t="shared" si="140"/>
        <v>73054.257931793836</v>
      </c>
      <c r="M683" s="1">
        <f t="shared" si="141"/>
        <v>639955299.48251402</v>
      </c>
      <c r="N683">
        <f t="shared" si="142"/>
        <v>473816168174.1582</v>
      </c>
      <c r="O683">
        <v>3.0413625299999998</v>
      </c>
      <c r="P683" s="1">
        <f t="shared" si="143"/>
        <v>3.461428856204916E+16</v>
      </c>
      <c r="Q683" s="1">
        <f t="shared" si="144"/>
        <v>1.1381178080749604E+16</v>
      </c>
    </row>
    <row r="684" spans="1:17" x14ac:dyDescent="0.2">
      <c r="A684">
        <f t="shared" si="145"/>
        <v>683</v>
      </c>
      <c r="B684">
        <f t="shared" si="147"/>
        <v>166.66666666666666</v>
      </c>
      <c r="C684">
        <f t="shared" si="146"/>
        <v>683000</v>
      </c>
      <c r="E684" t="s">
        <v>12</v>
      </c>
      <c r="F684">
        <v>35.074661839999997</v>
      </c>
      <c r="G684">
        <v>43.429000000000002</v>
      </c>
      <c r="H684">
        <f t="shared" si="138"/>
        <v>0.80763226968154911</v>
      </c>
      <c r="I684">
        <v>397.92598170000002</v>
      </c>
      <c r="J684">
        <f t="shared" si="139"/>
        <v>492.70688732745037</v>
      </c>
      <c r="K684" s="1">
        <v>2.96E-6</v>
      </c>
      <c r="L684" s="1">
        <f t="shared" si="140"/>
        <v>75583.976310683414</v>
      </c>
      <c r="M684" s="1">
        <f t="shared" si="141"/>
        <v>662115632.48158669</v>
      </c>
      <c r="N684">
        <f t="shared" si="142"/>
        <v>159052202.66745034</v>
      </c>
      <c r="O684">
        <v>3.5013686129999999</v>
      </c>
      <c r="P684" s="1">
        <f t="shared" si="143"/>
        <v>12021797918578.584</v>
      </c>
      <c r="Q684" s="1">
        <f t="shared" si="144"/>
        <v>3433456812842.7397</v>
      </c>
    </row>
    <row r="685" spans="1:17" x14ac:dyDescent="0.2">
      <c r="A685">
        <f t="shared" si="145"/>
        <v>684</v>
      </c>
      <c r="B685">
        <f t="shared" si="147"/>
        <v>166.66666666666666</v>
      </c>
      <c r="C685">
        <f t="shared" si="146"/>
        <v>684000</v>
      </c>
      <c r="E685" t="s">
        <v>12</v>
      </c>
      <c r="F685">
        <v>35.170935790000001</v>
      </c>
      <c r="G685">
        <v>43.429000000000002</v>
      </c>
      <c r="H685">
        <f t="shared" si="138"/>
        <v>0.80984908218011009</v>
      </c>
      <c r="I685">
        <v>354.27843819999998</v>
      </c>
      <c r="J685">
        <f t="shared" si="139"/>
        <v>437.46229513069773</v>
      </c>
      <c r="K685" s="1">
        <v>2.9399999999999998E-6</v>
      </c>
      <c r="L685" s="1">
        <f t="shared" si="140"/>
        <v>76516.479189262798</v>
      </c>
      <c r="M685" s="1">
        <f t="shared" si="141"/>
        <v>670284357.69794214</v>
      </c>
      <c r="N685">
        <f t="shared" si="142"/>
        <v>19461496.911275625</v>
      </c>
      <c r="O685">
        <v>2.4825121650000002</v>
      </c>
      <c r="P685" s="1">
        <f t="shared" si="143"/>
        <v>1489125223403.5237</v>
      </c>
      <c r="Q685" s="1">
        <f t="shared" si="144"/>
        <v>599846093162.45728</v>
      </c>
    </row>
    <row r="686" spans="1:17" x14ac:dyDescent="0.2">
      <c r="A686">
        <f t="shared" si="145"/>
        <v>685</v>
      </c>
      <c r="B686">
        <f t="shared" si="147"/>
        <v>166.66666666666666</v>
      </c>
      <c r="C686">
        <f t="shared" si="146"/>
        <v>685000</v>
      </c>
      <c r="E686" t="s">
        <v>12</v>
      </c>
      <c r="F686">
        <v>36.974520599999998</v>
      </c>
      <c r="G686">
        <v>43.429000000000002</v>
      </c>
      <c r="H686">
        <f t="shared" si="138"/>
        <v>0.85137858573764069</v>
      </c>
      <c r="I686">
        <v>354.27843819999998</v>
      </c>
      <c r="J686">
        <f t="shared" si="139"/>
        <v>416.12326658774316</v>
      </c>
      <c r="K686" s="1">
        <v>2.5600000000000001E-6</v>
      </c>
      <c r="L686" s="1">
        <f t="shared" si="140"/>
        <v>97117.97078697283</v>
      </c>
      <c r="M686" s="1">
        <f t="shared" si="141"/>
        <v>850753424.09388196</v>
      </c>
      <c r="N686">
        <f t="shared" si="142"/>
        <v>8644951.6598859448</v>
      </c>
      <c r="O686">
        <v>2.3532542580000002</v>
      </c>
      <c r="P686" s="1">
        <f t="shared" si="143"/>
        <v>839580162759.59546</v>
      </c>
      <c r="Q686" s="1">
        <f t="shared" si="144"/>
        <v>356774096936.3606</v>
      </c>
    </row>
    <row r="687" spans="1:17" x14ac:dyDescent="0.2">
      <c r="A687">
        <f t="shared" si="145"/>
        <v>686</v>
      </c>
      <c r="B687">
        <f t="shared" si="147"/>
        <v>166.66666666666666</v>
      </c>
      <c r="C687">
        <f t="shared" si="146"/>
        <v>686000</v>
      </c>
      <c r="E687" t="s">
        <v>12</v>
      </c>
      <c r="F687">
        <v>37.613827809999997</v>
      </c>
      <c r="G687">
        <v>43.429000000000002</v>
      </c>
      <c r="H687">
        <f t="shared" si="138"/>
        <v>0.86609933017108376</v>
      </c>
      <c r="I687">
        <v>951.11735910000004</v>
      </c>
      <c r="J687">
        <f t="shared" si="139"/>
        <v>1098.161984390546</v>
      </c>
      <c r="K687" s="1">
        <v>2.4399999999999999E-6</v>
      </c>
      <c r="L687" s="1">
        <f t="shared" si="140"/>
        <v>105448.3283011969</v>
      </c>
      <c r="M687" s="1">
        <f t="shared" si="141"/>
        <v>923727355.91848493</v>
      </c>
      <c r="N687">
        <f t="shared" si="142"/>
        <v>1.5871563954844741E+18</v>
      </c>
      <c r="O687">
        <v>5.8280109490000003</v>
      </c>
      <c r="P687" s="1">
        <f t="shared" si="143"/>
        <v>1.6736298865639113E+23</v>
      </c>
      <c r="Q687" s="1">
        <f t="shared" si="144"/>
        <v>2.871699969697348E+22</v>
      </c>
    </row>
    <row r="688" spans="1:17" x14ac:dyDescent="0.2">
      <c r="A688">
        <f t="shared" si="145"/>
        <v>687</v>
      </c>
      <c r="B688">
        <f t="shared" si="147"/>
        <v>166.66666666666666</v>
      </c>
      <c r="C688">
        <f t="shared" si="146"/>
        <v>687000</v>
      </c>
      <c r="E688" t="s">
        <v>12</v>
      </c>
      <c r="F688">
        <v>35.592166030000001</v>
      </c>
      <c r="G688">
        <v>43.429000000000002</v>
      </c>
      <c r="H688">
        <f t="shared" si="138"/>
        <v>0.81954836698979938</v>
      </c>
      <c r="I688">
        <v>354.27843819999998</v>
      </c>
      <c r="J688">
        <f t="shared" si="139"/>
        <v>432.2849662934043</v>
      </c>
      <c r="K688" s="1">
        <v>2.8399999999999999E-6</v>
      </c>
      <c r="L688" s="1">
        <f t="shared" si="140"/>
        <v>81119.442732967233</v>
      </c>
      <c r="M688" s="1">
        <f t="shared" si="141"/>
        <v>710606318.34079301</v>
      </c>
      <c r="N688">
        <f t="shared" si="142"/>
        <v>15983531.785826497</v>
      </c>
      <c r="O688">
        <v>2.4711070560000001</v>
      </c>
      <c r="P688" s="1">
        <f t="shared" si="143"/>
        <v>1296575191370.9141</v>
      </c>
      <c r="Q688" s="1">
        <f t="shared" si="144"/>
        <v>524694058973.58826</v>
      </c>
    </row>
    <row r="689" spans="1:17" x14ac:dyDescent="0.2">
      <c r="A689">
        <f t="shared" si="145"/>
        <v>688</v>
      </c>
      <c r="B689">
        <f t="shared" si="147"/>
        <v>166.66666666666666</v>
      </c>
      <c r="C689">
        <f t="shared" si="146"/>
        <v>688000</v>
      </c>
      <c r="E689" t="s">
        <v>12</v>
      </c>
      <c r="F689">
        <v>35.582841739999999</v>
      </c>
      <c r="G689">
        <v>43.429000000000002</v>
      </c>
      <c r="H689">
        <f t="shared" si="138"/>
        <v>0.81933366506251581</v>
      </c>
      <c r="I689">
        <v>3618.230411</v>
      </c>
      <c r="J689">
        <f t="shared" si="139"/>
        <v>4416.064620906217</v>
      </c>
      <c r="K689" s="1">
        <v>2.8399999999999999E-6</v>
      </c>
      <c r="L689" s="1">
        <f t="shared" si="140"/>
        <v>81076.945621034421</v>
      </c>
      <c r="M689" s="1">
        <f t="shared" si="141"/>
        <v>710234043.64026153</v>
      </c>
      <c r="N689">
        <f t="shared" si="142"/>
        <v>9.9019806815913901E+72</v>
      </c>
      <c r="O689">
        <v>3.136405109</v>
      </c>
      <c r="P689" s="1">
        <f t="shared" si="143"/>
        <v>8.0282234926191848E+77</v>
      </c>
      <c r="Q689" s="1">
        <f t="shared" si="144"/>
        <v>2.5596895852458529E+77</v>
      </c>
    </row>
    <row r="690" spans="1:17" x14ac:dyDescent="0.2">
      <c r="A690">
        <f t="shared" si="145"/>
        <v>689</v>
      </c>
      <c r="B690">
        <f t="shared" si="147"/>
        <v>166.66666666666666</v>
      </c>
      <c r="C690">
        <f t="shared" si="146"/>
        <v>689000</v>
      </c>
      <c r="E690" t="s">
        <v>12</v>
      </c>
      <c r="F690">
        <v>35.993285530000001</v>
      </c>
      <c r="G690">
        <v>43.429000000000002</v>
      </c>
      <c r="H690">
        <f t="shared" si="138"/>
        <v>0.82878458011927514</v>
      </c>
      <c r="I690">
        <v>1132.1930130000001</v>
      </c>
      <c r="J690">
        <f t="shared" si="139"/>
        <v>1366.0884144792603</v>
      </c>
      <c r="K690" s="1">
        <v>2.7599999999999998E-6</v>
      </c>
      <c r="L690" s="1">
        <f t="shared" si="140"/>
        <v>85362.743088229996</v>
      </c>
      <c r="M690" s="1">
        <f t="shared" si="141"/>
        <v>747777629.45289481</v>
      </c>
      <c r="N690">
        <f t="shared" si="142"/>
        <v>4.2210441650167901E+22</v>
      </c>
      <c r="O690">
        <v>3.8777372259999998</v>
      </c>
      <c r="P690" s="1">
        <f t="shared" si="143"/>
        <v>3.6031990862240056E+27</v>
      </c>
      <c r="Q690" s="1">
        <f t="shared" si="144"/>
        <v>9.2920145853740887E+26</v>
      </c>
    </row>
    <row r="691" spans="1:17" x14ac:dyDescent="0.2">
      <c r="A691">
        <f t="shared" si="145"/>
        <v>690</v>
      </c>
      <c r="B691">
        <f t="shared" si="147"/>
        <v>166.66666666666666</v>
      </c>
      <c r="C691">
        <f t="shared" si="146"/>
        <v>690000</v>
      </c>
      <c r="E691" t="s">
        <v>12</v>
      </c>
      <c r="F691">
        <v>36.50924199</v>
      </c>
      <c r="G691">
        <v>43.429000000000002</v>
      </c>
      <c r="H691">
        <f t="shared" si="138"/>
        <v>0.840665039259481</v>
      </c>
      <c r="I691">
        <v>3039.5539570000001</v>
      </c>
      <c r="J691">
        <f t="shared" si="139"/>
        <v>3615.6540536971306</v>
      </c>
      <c r="K691" s="1">
        <v>2.65E-6</v>
      </c>
      <c r="L691" s="1">
        <f t="shared" si="140"/>
        <v>91473.273178856092</v>
      </c>
      <c r="M691" s="1">
        <f t="shared" si="141"/>
        <v>801305873.04677939</v>
      </c>
      <c r="N691">
        <f t="shared" si="142"/>
        <v>5.983509116362206E+59</v>
      </c>
      <c r="O691">
        <v>3.7370742090000002</v>
      </c>
      <c r="P691" s="1">
        <f t="shared" si="143"/>
        <v>5.4733116396917591E+64</v>
      </c>
      <c r="Q691" s="1">
        <f t="shared" si="144"/>
        <v>1.4645980608333591E+64</v>
      </c>
    </row>
    <row r="692" spans="1:17" x14ac:dyDescent="0.2">
      <c r="A692">
        <f t="shared" si="145"/>
        <v>691</v>
      </c>
      <c r="B692">
        <f t="shared" si="147"/>
        <v>166.66666666666666</v>
      </c>
      <c r="C692">
        <f t="shared" si="146"/>
        <v>691000</v>
      </c>
      <c r="E692" t="s">
        <v>12</v>
      </c>
      <c r="F692">
        <v>36.793947469999999</v>
      </c>
      <c r="G692">
        <v>43.429000000000002</v>
      </c>
      <c r="H692">
        <f t="shared" si="138"/>
        <v>0.84722069285500468</v>
      </c>
      <c r="I692">
        <v>2706.1525969999998</v>
      </c>
      <c r="J692">
        <f t="shared" si="139"/>
        <v>3194.1530935471815</v>
      </c>
      <c r="K692" s="1">
        <v>2.5900000000000002E-6</v>
      </c>
      <c r="L692" s="1">
        <f t="shared" si="140"/>
        <v>95057.73572347025</v>
      </c>
      <c r="M692" s="1">
        <f t="shared" si="141"/>
        <v>832705764.93759942</v>
      </c>
      <c r="N692">
        <f t="shared" si="142"/>
        <v>6.5444805780355828E+52</v>
      </c>
      <c r="O692">
        <v>3.144008516</v>
      </c>
      <c r="P692" s="1">
        <f t="shared" si="143"/>
        <v>6.2210350523429022E+57</v>
      </c>
      <c r="Q692" s="1">
        <f t="shared" si="144"/>
        <v>1.9786953567981054E+57</v>
      </c>
    </row>
    <row r="693" spans="1:17" x14ac:dyDescent="0.2">
      <c r="A693">
        <f t="shared" si="145"/>
        <v>692</v>
      </c>
      <c r="B693">
        <f t="shared" si="147"/>
        <v>166.66666666666666</v>
      </c>
      <c r="C693">
        <f t="shared" si="146"/>
        <v>692000</v>
      </c>
      <c r="E693" t="s">
        <v>12</v>
      </c>
      <c r="F693">
        <v>36.89182598</v>
      </c>
      <c r="G693">
        <v>43.429000000000002</v>
      </c>
      <c r="H693">
        <f t="shared" si="138"/>
        <v>0.84947445209422268</v>
      </c>
      <c r="I693">
        <v>2145.048581</v>
      </c>
      <c r="J693">
        <f t="shared" si="139"/>
        <v>2525.1478437188762</v>
      </c>
      <c r="K693" s="1">
        <v>2.57E-6</v>
      </c>
      <c r="L693" s="1">
        <f t="shared" si="140"/>
        <v>96307.839592586577</v>
      </c>
      <c r="M693" s="1">
        <f t="shared" si="141"/>
        <v>843656674.83105838</v>
      </c>
      <c r="N693">
        <f t="shared" si="142"/>
        <v>5.8514772117287503E+41</v>
      </c>
      <c r="O693">
        <v>2.5015206810000001</v>
      </c>
      <c r="P693" s="1">
        <f t="shared" si="143"/>
        <v>5.6354312868684823E+46</v>
      </c>
      <c r="Q693" s="1">
        <f t="shared" si="144"/>
        <v>2.2528021973480865E+46</v>
      </c>
    </row>
    <row r="694" spans="1:17" x14ac:dyDescent="0.2">
      <c r="A694">
        <f t="shared" si="145"/>
        <v>693</v>
      </c>
      <c r="B694">
        <f t="shared" si="147"/>
        <v>166.66666666666666</v>
      </c>
      <c r="C694">
        <f t="shared" si="146"/>
        <v>693000</v>
      </c>
      <c r="E694" t="s">
        <v>12</v>
      </c>
      <c r="F694">
        <v>35.356375579999998</v>
      </c>
      <c r="G694">
        <v>43.429000000000002</v>
      </c>
      <c r="H694">
        <f t="shared" si="138"/>
        <v>0.81411903520688933</v>
      </c>
      <c r="I694">
        <v>397.92598170000002</v>
      </c>
      <c r="J694">
        <f t="shared" si="139"/>
        <v>488.78108051960294</v>
      </c>
      <c r="K694" s="1">
        <v>2.9000000000000002E-6</v>
      </c>
      <c r="L694" s="1">
        <f t="shared" si="140"/>
        <v>78392.035377850116</v>
      </c>
      <c r="M694" s="1">
        <f t="shared" si="141"/>
        <v>686714229.90996706</v>
      </c>
      <c r="N694">
        <f t="shared" si="142"/>
        <v>136995108.005853</v>
      </c>
      <c r="O694">
        <v>4.5658454989999999</v>
      </c>
      <c r="P694" s="1">
        <f t="shared" si="143"/>
        <v>10739325353387.227</v>
      </c>
      <c r="Q694" s="1">
        <f t="shared" si="144"/>
        <v>2352100033989.1763</v>
      </c>
    </row>
    <row r="695" spans="1:17" x14ac:dyDescent="0.2">
      <c r="A695">
        <f t="shared" si="145"/>
        <v>694</v>
      </c>
      <c r="B695">
        <f t="shared" si="147"/>
        <v>166.66666666666666</v>
      </c>
      <c r="C695">
        <f t="shared" si="146"/>
        <v>694000</v>
      </c>
      <c r="E695" t="s">
        <v>12</v>
      </c>
      <c r="F695">
        <v>35.662811570000002</v>
      </c>
      <c r="G695">
        <v>43.429000000000002</v>
      </c>
      <c r="H695">
        <f t="shared" si="138"/>
        <v>0.82117505745009101</v>
      </c>
      <c r="I695">
        <v>1428.3532270000001</v>
      </c>
      <c r="J695">
        <f t="shared" si="139"/>
        <v>1739.4016221526697</v>
      </c>
      <c r="K695" s="1">
        <v>2.83E-6</v>
      </c>
      <c r="L695" s="1">
        <f t="shared" si="140"/>
        <v>81729.564281805302</v>
      </c>
      <c r="M695" s="1">
        <f t="shared" si="141"/>
        <v>715950983.10861444</v>
      </c>
      <c r="N695">
        <f t="shared" si="142"/>
        <v>6.1756234104072686E+28</v>
      </c>
      <c r="O695">
        <v>2.786648418</v>
      </c>
      <c r="P695" s="1">
        <f t="shared" si="143"/>
        <v>5.0473101050110253E+33</v>
      </c>
      <c r="Q695" s="1">
        <f t="shared" si="144"/>
        <v>1.8112475446879374E+33</v>
      </c>
    </row>
    <row r="696" spans="1:17" x14ac:dyDescent="0.2">
      <c r="A696">
        <f t="shared" si="145"/>
        <v>695</v>
      </c>
      <c r="B696">
        <f t="shared" si="147"/>
        <v>166.66666666666666</v>
      </c>
      <c r="C696">
        <f t="shared" si="146"/>
        <v>695000</v>
      </c>
      <c r="E696" t="s">
        <v>12</v>
      </c>
      <c r="F696">
        <v>35.836548980000003</v>
      </c>
      <c r="G696">
        <v>43.429000000000002</v>
      </c>
      <c r="H696">
        <f t="shared" si="138"/>
        <v>0.82517555043864699</v>
      </c>
      <c r="I696">
        <v>473.68393809999998</v>
      </c>
      <c r="J696">
        <f t="shared" si="139"/>
        <v>574.04020011038733</v>
      </c>
      <c r="K696" s="1">
        <v>2.79E-6</v>
      </c>
      <c r="L696" s="1">
        <f t="shared" si="140"/>
        <v>83711.017326634887</v>
      </c>
      <c r="M696" s="1">
        <f t="shared" si="141"/>
        <v>733308511.78132164</v>
      </c>
      <c r="N696">
        <f t="shared" si="142"/>
        <v>3505563878.786541</v>
      </c>
      <c r="O696">
        <v>3.3949209250000001</v>
      </c>
      <c r="P696" s="1">
        <f t="shared" si="143"/>
        <v>293454318596725.56</v>
      </c>
      <c r="Q696" s="1">
        <f t="shared" si="144"/>
        <v>86439220553193.172</v>
      </c>
    </row>
    <row r="697" spans="1:17" x14ac:dyDescent="0.2">
      <c r="A697">
        <f t="shared" si="145"/>
        <v>696</v>
      </c>
      <c r="B697">
        <f t="shared" si="147"/>
        <v>166.66666666666666</v>
      </c>
      <c r="C697">
        <f t="shared" si="146"/>
        <v>696000</v>
      </c>
      <c r="E697" t="s">
        <v>12</v>
      </c>
      <c r="F697">
        <v>35.682452779999998</v>
      </c>
      <c r="G697">
        <v>43.429000000000002</v>
      </c>
      <c r="H697">
        <f t="shared" si="138"/>
        <v>0.82162731769094377</v>
      </c>
      <c r="I697">
        <v>354.27843819999998</v>
      </c>
      <c r="J697">
        <f t="shared" si="139"/>
        <v>431.19116243072909</v>
      </c>
      <c r="K697" s="1">
        <v>2.8200000000000001E-6</v>
      </c>
      <c r="L697" s="1">
        <f t="shared" si="140"/>
        <v>82109.754279210349</v>
      </c>
      <c r="M697" s="1">
        <f t="shared" si="141"/>
        <v>719281447.48588264</v>
      </c>
      <c r="N697">
        <f t="shared" si="142"/>
        <v>15332345.529029747</v>
      </c>
      <c r="O697">
        <v>3.9119525550000001</v>
      </c>
      <c r="P697" s="1">
        <f t="shared" si="143"/>
        <v>1258935123912.582</v>
      </c>
      <c r="Q697" s="1">
        <f t="shared" si="144"/>
        <v>321817585007.13257</v>
      </c>
    </row>
    <row r="698" spans="1:17" x14ac:dyDescent="0.2">
      <c r="A698">
        <f t="shared" si="145"/>
        <v>697</v>
      </c>
      <c r="B698">
        <f t="shared" si="147"/>
        <v>166.66666666666666</v>
      </c>
      <c r="C698">
        <f t="shared" si="146"/>
        <v>697000</v>
      </c>
      <c r="E698" t="s">
        <v>12</v>
      </c>
      <c r="F698">
        <v>36.002378190000002</v>
      </c>
      <c r="G698">
        <v>43.429000000000002</v>
      </c>
      <c r="H698">
        <f t="shared" si="138"/>
        <v>0.82899394851366603</v>
      </c>
      <c r="I698">
        <v>1068.2961989999999</v>
      </c>
      <c r="J698">
        <f t="shared" si="139"/>
        <v>1288.6658592808642</v>
      </c>
      <c r="K698" s="1">
        <v>2.7499999999999999E-6</v>
      </c>
      <c r="L698" s="1">
        <f t="shared" si="140"/>
        <v>85716.4442067606</v>
      </c>
      <c r="M698" s="1">
        <f t="shared" si="141"/>
        <v>750876051.25122285</v>
      </c>
      <c r="N698">
        <f t="shared" si="142"/>
        <v>2.2222237765760278E+21</v>
      </c>
      <c r="O698">
        <v>4.0678223840000003</v>
      </c>
      <c r="P698" s="1">
        <f t="shared" si="143"/>
        <v>1.9048112035981592E+26</v>
      </c>
      <c r="Q698" s="1">
        <f t="shared" si="144"/>
        <v>4.682631206048644E+25</v>
      </c>
    </row>
    <row r="699" spans="1:17" x14ac:dyDescent="0.2">
      <c r="A699">
        <f t="shared" si="145"/>
        <v>698</v>
      </c>
      <c r="B699">
        <f t="shared" si="147"/>
        <v>166.66666666666666</v>
      </c>
      <c r="C699">
        <f t="shared" si="146"/>
        <v>698000</v>
      </c>
      <c r="E699" t="s">
        <v>12</v>
      </c>
      <c r="F699">
        <v>36.024811800000002</v>
      </c>
      <c r="G699">
        <v>43.429000000000002</v>
      </c>
      <c r="H699">
        <f t="shared" si="138"/>
        <v>0.82951050680420912</v>
      </c>
      <c r="I699">
        <v>1068.2961989999999</v>
      </c>
      <c r="J699">
        <f t="shared" si="139"/>
        <v>1287.8633727205481</v>
      </c>
      <c r="K699" s="1">
        <v>2.7499999999999999E-6</v>
      </c>
      <c r="L699" s="1">
        <f t="shared" si="140"/>
        <v>85823.299835713289</v>
      </c>
      <c r="M699" s="1">
        <f t="shared" si="141"/>
        <v>751812106.56084836</v>
      </c>
      <c r="N699">
        <f t="shared" si="142"/>
        <v>2.1554340482211363E+21</v>
      </c>
      <c r="O699">
        <v>3.6952554740000001</v>
      </c>
      <c r="P699" s="1">
        <f t="shared" si="143"/>
        <v>1.8498646259658787E+26</v>
      </c>
      <c r="Q699" s="1">
        <f t="shared" si="144"/>
        <v>5.0060534081651929E+25</v>
      </c>
    </row>
    <row r="700" spans="1:17" x14ac:dyDescent="0.2">
      <c r="A700">
        <f t="shared" si="145"/>
        <v>699</v>
      </c>
      <c r="B700">
        <f t="shared" si="147"/>
        <v>166.66666666666666</v>
      </c>
      <c r="C700">
        <f t="shared" si="146"/>
        <v>699000</v>
      </c>
      <c r="E700" t="s">
        <v>12</v>
      </c>
      <c r="F700">
        <v>36.20738102</v>
      </c>
      <c r="G700">
        <v>43.429000000000002</v>
      </c>
      <c r="H700">
        <f t="shared" si="138"/>
        <v>0.83371436183195557</v>
      </c>
      <c r="I700">
        <v>1347.7422180000001</v>
      </c>
      <c r="J700">
        <f t="shared" si="139"/>
        <v>1616.5515189621412</v>
      </c>
      <c r="K700" s="1">
        <v>2.7099999999999999E-6</v>
      </c>
      <c r="L700" s="1">
        <f t="shared" si="140"/>
        <v>87975.024182224617</v>
      </c>
      <c r="M700" s="1">
        <f t="shared" si="141"/>
        <v>770661211.83628762</v>
      </c>
      <c r="N700">
        <f t="shared" si="142"/>
        <v>5.7784792858536899E+26</v>
      </c>
      <c r="O700">
        <v>3.35310219</v>
      </c>
      <c r="P700" s="1">
        <f t="shared" si="143"/>
        <v>5.0836185490946237E+31</v>
      </c>
      <c r="Q700" s="1">
        <f t="shared" si="144"/>
        <v>1.5160941304609103E+31</v>
      </c>
    </row>
    <row r="701" spans="1:17" x14ac:dyDescent="0.2">
      <c r="A701">
        <f t="shared" si="145"/>
        <v>700</v>
      </c>
      <c r="B701">
        <f>3000/18</f>
        <v>166.66666666666666</v>
      </c>
      <c r="C701">
        <f t="shared" si="146"/>
        <v>700000</v>
      </c>
      <c r="E701" t="s">
        <v>12</v>
      </c>
      <c r="F701">
        <v>35.638033280000002</v>
      </c>
      <c r="G701">
        <v>43.429000000000002</v>
      </c>
      <c r="H701">
        <f t="shared" si="138"/>
        <v>0.82060451035022686</v>
      </c>
      <c r="I701">
        <v>1271.6805979999999</v>
      </c>
      <c r="J701">
        <f t="shared" si="139"/>
        <v>1549.6875558937127</v>
      </c>
      <c r="K701" s="1">
        <v>2.83E-6</v>
      </c>
      <c r="L701" s="1">
        <f t="shared" si="140"/>
        <v>81616.03339422174</v>
      </c>
      <c r="M701" s="1">
        <f t="shared" si="141"/>
        <v>714956452.53338242</v>
      </c>
      <c r="N701">
        <f t="shared" si="142"/>
        <v>4.5452357471822598E+25</v>
      </c>
      <c r="O701">
        <v>2.9006995130000002</v>
      </c>
      <c r="P701" s="1">
        <f t="shared" si="143"/>
        <v>3.709641125266377E+30</v>
      </c>
      <c r="Q701" s="1">
        <f t="shared" si="144"/>
        <v>1.2788781149653597E+30</v>
      </c>
    </row>
    <row r="702" spans="1:17" x14ac:dyDescent="0.2">
      <c r="A702">
        <f t="shared" si="145"/>
        <v>701</v>
      </c>
      <c r="B702">
        <f t="shared" ref="B702:B712" si="148">3000/18</f>
        <v>166.66666666666666</v>
      </c>
      <c r="C702">
        <f t="shared" si="146"/>
        <v>701000</v>
      </c>
      <c r="E702" t="s">
        <v>12</v>
      </c>
      <c r="F702">
        <v>35.855702020000003</v>
      </c>
      <c r="G702">
        <v>43.429000000000002</v>
      </c>
      <c r="H702">
        <f t="shared" si="138"/>
        <v>0.82561657003384836</v>
      </c>
      <c r="I702">
        <v>1428.3532270000001</v>
      </c>
      <c r="J702">
        <f t="shared" si="139"/>
        <v>1730.044283076151</v>
      </c>
      <c r="K702" s="1">
        <v>2.79E-6</v>
      </c>
      <c r="L702" s="1">
        <f t="shared" si="140"/>
        <v>83800.520862028163</v>
      </c>
      <c r="M702" s="1">
        <f t="shared" si="141"/>
        <v>734092562.75136673</v>
      </c>
      <c r="N702">
        <f t="shared" si="142"/>
        <v>4.3265778079165638E+28</v>
      </c>
      <c r="O702">
        <v>2.756234793</v>
      </c>
      <c r="P702" s="1">
        <f t="shared" si="143"/>
        <v>3.6256947385350006E+33</v>
      </c>
      <c r="Q702" s="1">
        <f t="shared" si="144"/>
        <v>1.3154520608125131E+33</v>
      </c>
    </row>
    <row r="703" spans="1:17" x14ac:dyDescent="0.2">
      <c r="A703">
        <f t="shared" si="145"/>
        <v>702</v>
      </c>
      <c r="B703">
        <f t="shared" si="148"/>
        <v>166.66666666666666</v>
      </c>
      <c r="C703">
        <f t="shared" si="146"/>
        <v>702000</v>
      </c>
      <c r="E703" t="s">
        <v>12</v>
      </c>
      <c r="F703">
        <v>36.362335199999997</v>
      </c>
      <c r="G703">
        <v>43.429000000000002</v>
      </c>
      <c r="H703">
        <f t="shared" si="138"/>
        <v>0.83728235050311994</v>
      </c>
      <c r="I703">
        <v>3039.5539570000001</v>
      </c>
      <c r="J703">
        <f t="shared" si="139"/>
        <v>3630.2615899804205</v>
      </c>
      <c r="K703" s="1">
        <v>2.6800000000000002E-6</v>
      </c>
      <c r="L703" s="1">
        <f t="shared" si="140"/>
        <v>89722.878701926151</v>
      </c>
      <c r="M703" s="1">
        <f t="shared" si="141"/>
        <v>785972417.42887306</v>
      </c>
      <c r="N703">
        <f t="shared" si="142"/>
        <v>1.0427955182273305E+60</v>
      </c>
      <c r="O703">
        <v>2.3342457419999998</v>
      </c>
      <c r="P703" s="1">
        <f t="shared" si="143"/>
        <v>9.3562615792822992E+64</v>
      </c>
      <c r="Q703" s="1">
        <f t="shared" si="144"/>
        <v>4.0082590324297995E+64</v>
      </c>
    </row>
    <row r="704" spans="1:17" x14ac:dyDescent="0.2">
      <c r="A704">
        <f t="shared" si="145"/>
        <v>703</v>
      </c>
      <c r="B704">
        <f t="shared" si="148"/>
        <v>166.66666666666666</v>
      </c>
      <c r="C704">
        <f t="shared" si="146"/>
        <v>703000</v>
      </c>
      <c r="E704" t="s">
        <v>12</v>
      </c>
      <c r="F704">
        <v>36.04245547</v>
      </c>
      <c r="G704">
        <v>43.429000000000002</v>
      </c>
      <c r="H704">
        <f t="shared" si="138"/>
        <v>0.82991677151212317</v>
      </c>
      <c r="I704">
        <v>897.43978930000003</v>
      </c>
      <c r="J704">
        <f t="shared" si="139"/>
        <v>1081.3611919962152</v>
      </c>
      <c r="K704" s="1">
        <v>2.7499999999999999E-6</v>
      </c>
      <c r="L704" s="1">
        <f t="shared" si="140"/>
        <v>85907.386814373545</v>
      </c>
      <c r="M704" s="1">
        <f t="shared" si="141"/>
        <v>752548708.49391222</v>
      </c>
      <c r="N704">
        <f t="shared" si="142"/>
        <v>8.3782813316948915E+17</v>
      </c>
      <c r="O704">
        <v>2.6193734790000001</v>
      </c>
      <c r="P704" s="1">
        <f t="shared" si="143"/>
        <v>7.1975625520155774E+22</v>
      </c>
      <c r="Q704" s="1">
        <f t="shared" si="144"/>
        <v>2.7478183656205438E+22</v>
      </c>
    </row>
    <row r="705" spans="1:17" x14ac:dyDescent="0.2">
      <c r="A705">
        <f t="shared" si="145"/>
        <v>704</v>
      </c>
      <c r="B705">
        <f t="shared" si="148"/>
        <v>166.66666666666666</v>
      </c>
      <c r="C705">
        <f t="shared" si="146"/>
        <v>704000</v>
      </c>
      <c r="E705" t="s">
        <v>12</v>
      </c>
      <c r="F705">
        <v>36.137634669999997</v>
      </c>
      <c r="G705">
        <v>43.429000000000002</v>
      </c>
      <c r="H705">
        <f t="shared" si="138"/>
        <v>0.83210837620023481</v>
      </c>
      <c r="I705">
        <v>3039.5539570000001</v>
      </c>
      <c r="J705">
        <f t="shared" si="139"/>
        <v>3652.8342268105898</v>
      </c>
      <c r="K705" s="1">
        <v>2.7300000000000001E-6</v>
      </c>
      <c r="L705" s="1">
        <f t="shared" si="140"/>
        <v>86994.392659966616</v>
      </c>
      <c r="M705" s="1">
        <f t="shared" si="141"/>
        <v>762070879.70130754</v>
      </c>
      <c r="N705">
        <f t="shared" si="142"/>
        <v>2.4602874265164221E+60</v>
      </c>
      <c r="O705">
        <v>3.1478102190000001</v>
      </c>
      <c r="P705" s="1">
        <f t="shared" si="143"/>
        <v>2.1403121043874837E+65</v>
      </c>
      <c r="Q705" s="1">
        <f t="shared" si="144"/>
        <v>6.7993683083836623E+64</v>
      </c>
    </row>
    <row r="706" spans="1:17" x14ac:dyDescent="0.2">
      <c r="A706">
        <f t="shared" si="145"/>
        <v>705</v>
      </c>
      <c r="B706">
        <f t="shared" si="148"/>
        <v>166.66666666666666</v>
      </c>
      <c r="C706">
        <f t="shared" si="146"/>
        <v>705000</v>
      </c>
      <c r="E706" t="s">
        <v>12</v>
      </c>
      <c r="F706">
        <v>33.852499850000001</v>
      </c>
      <c r="G706">
        <v>43.429000000000002</v>
      </c>
      <c r="H706">
        <f t="shared" si="138"/>
        <v>0.77949065946717633</v>
      </c>
      <c r="I706">
        <v>532.04238750000002</v>
      </c>
      <c r="J706">
        <f t="shared" si="139"/>
        <v>682.55133148571599</v>
      </c>
      <c r="K706" s="1">
        <v>3.27E-6</v>
      </c>
      <c r="L706" s="1">
        <f t="shared" si="140"/>
        <v>63733.563012668106</v>
      </c>
      <c r="M706" s="1">
        <f t="shared" si="141"/>
        <v>558306011.99097264</v>
      </c>
      <c r="N706">
        <f t="shared" si="142"/>
        <v>217178719302.47809</v>
      </c>
      <c r="O706">
        <v>3.174422141</v>
      </c>
      <c r="P706" s="1">
        <f t="shared" si="143"/>
        <v>1.3841573591675046E+16</v>
      </c>
      <c r="Q706" s="1">
        <f t="shared" si="144"/>
        <v>4360344332564005.5</v>
      </c>
    </row>
    <row r="707" spans="1:17" x14ac:dyDescent="0.2">
      <c r="A707">
        <f t="shared" si="145"/>
        <v>706</v>
      </c>
      <c r="B707">
        <f t="shared" si="148"/>
        <v>166.66666666666666</v>
      </c>
      <c r="C707">
        <f t="shared" si="146"/>
        <v>706000</v>
      </c>
      <c r="E707" t="s">
        <v>12</v>
      </c>
      <c r="F707">
        <v>36.278906370000001</v>
      </c>
      <c r="G707">
        <v>43.429000000000002</v>
      </c>
      <c r="H707">
        <f t="shared" ref="H707:H770" si="149">F707/43.429</f>
        <v>0.83536131087522159</v>
      </c>
      <c r="I707">
        <v>2145.048581</v>
      </c>
      <c r="J707">
        <f t="shared" ref="J707:J770" si="150">I707/H707</f>
        <v>2567.8093455783796</v>
      </c>
      <c r="K707" s="1">
        <v>2.7E-6</v>
      </c>
      <c r="L707" s="1">
        <f t="shared" ref="L707:L770" si="151">((H707^2)*0.343)/(K707)</f>
        <v>88650.067503540326</v>
      </c>
      <c r="M707" s="1">
        <f t="shared" ref="M707:M770" si="152">L707*8760</f>
        <v>776574591.3310132</v>
      </c>
      <c r="N707">
        <f t="shared" ref="N707:N770" si="153">EXP((J707+3.9052)/(26.297))</f>
        <v>2.9635990967172435E+42</v>
      </c>
      <c r="O707">
        <v>3.9081508519999999</v>
      </c>
      <c r="P707" s="1">
        <f t="shared" ref="P707:P770" si="154">L707*N707</f>
        <v>2.6272325997741475E+47</v>
      </c>
      <c r="Q707" s="1">
        <f t="shared" ref="Q707:Q770" si="155">P707/O707</f>
        <v>6.7224441923209249E+46</v>
      </c>
    </row>
    <row r="708" spans="1:17" x14ac:dyDescent="0.2">
      <c r="A708">
        <f t="shared" ref="A708:A771" si="156">A707+1</f>
        <v>707</v>
      </c>
      <c r="B708">
        <f t="shared" si="148"/>
        <v>166.66666666666666</v>
      </c>
      <c r="C708">
        <f t="shared" ref="C708:C771" si="157">C707+1000</f>
        <v>707000</v>
      </c>
      <c r="E708" t="s">
        <v>12</v>
      </c>
      <c r="F708">
        <v>36.52182767</v>
      </c>
      <c r="G708">
        <v>43.429000000000002</v>
      </c>
      <c r="H708">
        <f t="shared" si="149"/>
        <v>0.8409548382417279</v>
      </c>
      <c r="I708">
        <v>2409.32123</v>
      </c>
      <c r="J708">
        <f t="shared" si="150"/>
        <v>2864.9828985316494</v>
      </c>
      <c r="K708" s="1">
        <v>2.65E-6</v>
      </c>
      <c r="L708" s="1">
        <f t="shared" si="151"/>
        <v>91536.350455480977</v>
      </c>
      <c r="M708" s="1">
        <f t="shared" si="152"/>
        <v>801858429.99001336</v>
      </c>
      <c r="N708">
        <f t="shared" si="153"/>
        <v>2.3968195281347176E+47</v>
      </c>
      <c r="O708">
        <v>4.6798965939999997</v>
      </c>
      <c r="P708" s="1">
        <f t="shared" si="154"/>
        <v>2.1939611230588005E+52</v>
      </c>
      <c r="Q708" s="1">
        <f t="shared" si="155"/>
        <v>4.6880547016180516E+51</v>
      </c>
    </row>
    <row r="709" spans="1:17" x14ac:dyDescent="0.2">
      <c r="A709">
        <f t="shared" si="156"/>
        <v>708</v>
      </c>
      <c r="B709">
        <f t="shared" si="148"/>
        <v>166.66666666666666</v>
      </c>
      <c r="C709">
        <f t="shared" si="157"/>
        <v>708000</v>
      </c>
      <c r="E709" t="s">
        <v>12</v>
      </c>
      <c r="F709">
        <v>35.853988690000001</v>
      </c>
      <c r="G709">
        <v>43.429000000000002</v>
      </c>
      <c r="H709">
        <f t="shared" si="149"/>
        <v>0.82557711874553874</v>
      </c>
      <c r="I709">
        <v>2145.048581</v>
      </c>
      <c r="J709">
        <f t="shared" si="150"/>
        <v>2598.2413178545853</v>
      </c>
      <c r="K709" s="1">
        <v>2.79E-6</v>
      </c>
      <c r="L709" s="1">
        <f t="shared" si="151"/>
        <v>83792.512399889471</v>
      </c>
      <c r="M709" s="1">
        <f t="shared" si="152"/>
        <v>734022408.62303174</v>
      </c>
      <c r="N709">
        <f t="shared" si="153"/>
        <v>9.4276386544872702E+42</v>
      </c>
      <c r="O709">
        <v>5.8166058390000002</v>
      </c>
      <c r="P709" s="1">
        <f t="shared" si="154"/>
        <v>7.8996552885780186E+47</v>
      </c>
      <c r="Q709" s="1">
        <f t="shared" si="155"/>
        <v>1.3581211289256175E+47</v>
      </c>
    </row>
    <row r="710" spans="1:17" x14ac:dyDescent="0.2">
      <c r="A710">
        <f t="shared" si="156"/>
        <v>709</v>
      </c>
      <c r="B710">
        <f t="shared" si="148"/>
        <v>166.66666666666666</v>
      </c>
      <c r="C710">
        <f t="shared" si="157"/>
        <v>709000</v>
      </c>
      <c r="E710" t="s">
        <v>12</v>
      </c>
      <c r="F710">
        <v>33.621580109999996</v>
      </c>
      <c r="G710">
        <v>43.429000000000002</v>
      </c>
      <c r="H710">
        <f t="shared" si="149"/>
        <v>0.77417348108406814</v>
      </c>
      <c r="I710">
        <v>1604.3281179999999</v>
      </c>
      <c r="J710">
        <f t="shared" si="150"/>
        <v>2072.3108672664343</v>
      </c>
      <c r="K710" s="1">
        <v>3.3299999999999999E-6</v>
      </c>
      <c r="L710" s="1">
        <f t="shared" si="151"/>
        <v>61734.291451393889</v>
      </c>
      <c r="M710" s="1">
        <f t="shared" si="152"/>
        <v>540792393.11421049</v>
      </c>
      <c r="N710">
        <f t="shared" si="153"/>
        <v>1.9438869253510798E+34</v>
      </c>
      <c r="O710">
        <v>4.6684914839999996</v>
      </c>
      <c r="P710" s="1">
        <f t="shared" si="154"/>
        <v>1.2000448199817752E+39</v>
      </c>
      <c r="Q710" s="1">
        <f t="shared" si="155"/>
        <v>2.5705194581474688E+38</v>
      </c>
    </row>
    <row r="711" spans="1:17" x14ac:dyDescent="0.2">
      <c r="A711">
        <f t="shared" si="156"/>
        <v>710</v>
      </c>
      <c r="B711">
        <f t="shared" si="148"/>
        <v>166.66666666666666</v>
      </c>
      <c r="C711">
        <f t="shared" si="157"/>
        <v>710000</v>
      </c>
      <c r="E711" t="s">
        <v>12</v>
      </c>
      <c r="F711">
        <v>36.049702119999999</v>
      </c>
      <c r="G711">
        <v>43.429000000000002</v>
      </c>
      <c r="H711">
        <f t="shared" si="149"/>
        <v>0.8300836335167745</v>
      </c>
      <c r="I711">
        <v>2409.32123</v>
      </c>
      <c r="J711">
        <f t="shared" si="150"/>
        <v>2902.5041968271885</v>
      </c>
      <c r="K711" s="1">
        <v>2.74E-6</v>
      </c>
      <c r="L711" s="1">
        <f t="shared" si="151"/>
        <v>86255.59184340034</v>
      </c>
      <c r="M711" s="1">
        <f t="shared" si="152"/>
        <v>755598984.54818702</v>
      </c>
      <c r="N711">
        <f t="shared" si="153"/>
        <v>9.9838696173376849E+47</v>
      </c>
      <c r="O711">
        <v>4.5012165450000001</v>
      </c>
      <c r="P711" s="1">
        <f t="shared" si="154"/>
        <v>8.6116458273080491E+52</v>
      </c>
      <c r="Q711" s="1">
        <f t="shared" si="155"/>
        <v>1.9131818567746886E+52</v>
      </c>
    </row>
    <row r="712" spans="1:17" x14ac:dyDescent="0.2">
      <c r="A712">
        <f t="shared" si="156"/>
        <v>711</v>
      </c>
      <c r="B712">
        <f t="shared" si="148"/>
        <v>166.66666666666666</v>
      </c>
      <c r="C712">
        <f t="shared" si="157"/>
        <v>711000</v>
      </c>
      <c r="E712" t="s">
        <v>12</v>
      </c>
      <c r="F712">
        <v>35.783432349999998</v>
      </c>
      <c r="G712">
        <v>43.429000000000002</v>
      </c>
      <c r="H712">
        <f t="shared" si="149"/>
        <v>0.82395248221234652</v>
      </c>
      <c r="I712">
        <v>532.04238750000002</v>
      </c>
      <c r="J712">
        <f t="shared" si="150"/>
        <v>645.71974596331597</v>
      </c>
      <c r="K712" s="1">
        <v>2.7999999999999999E-6</v>
      </c>
      <c r="L712" s="1">
        <f t="shared" si="151"/>
        <v>83164.967385626194</v>
      </c>
      <c r="M712" s="1">
        <f t="shared" si="152"/>
        <v>728525114.29808545</v>
      </c>
      <c r="N712">
        <f t="shared" si="153"/>
        <v>53523474179.498215</v>
      </c>
      <c r="O712">
        <v>5.5048661799999996</v>
      </c>
      <c r="P712" s="1">
        <f t="shared" si="154"/>
        <v>4451277984503375</v>
      </c>
      <c r="Q712" s="1">
        <f t="shared" si="155"/>
        <v>808607846031849.5</v>
      </c>
    </row>
    <row r="713" spans="1:17" x14ac:dyDescent="0.2">
      <c r="A713">
        <f t="shared" si="156"/>
        <v>712</v>
      </c>
      <c r="B713">
        <f t="shared" ref="B713:B720" si="158">3000/17</f>
        <v>176.47058823529412</v>
      </c>
      <c r="C713">
        <f t="shared" si="157"/>
        <v>712000</v>
      </c>
      <c r="E713" t="s">
        <v>12</v>
      </c>
      <c r="F713">
        <v>35.592122940000003</v>
      </c>
      <c r="G713">
        <v>43.429000000000002</v>
      </c>
      <c r="H713">
        <f t="shared" si="149"/>
        <v>0.81954737479564355</v>
      </c>
      <c r="I713">
        <v>297.6174279</v>
      </c>
      <c r="J713">
        <f t="shared" si="150"/>
        <v>363.14853424332148</v>
      </c>
      <c r="K713" s="1">
        <v>2.8399999999999999E-6</v>
      </c>
      <c r="L713" s="1">
        <f t="shared" si="151"/>
        <v>81119.246317010504</v>
      </c>
      <c r="M713" s="1">
        <f t="shared" si="152"/>
        <v>710604597.73701203</v>
      </c>
      <c r="N713">
        <f t="shared" si="153"/>
        <v>1153150.037716643</v>
      </c>
      <c r="O713">
        <v>6.5541362530000002</v>
      </c>
      <c r="P713" s="1">
        <f t="shared" si="154"/>
        <v>93542661950.006317</v>
      </c>
      <c r="Q713" s="1">
        <f t="shared" si="155"/>
        <v>14272309628.471544</v>
      </c>
    </row>
    <row r="714" spans="1:17" x14ac:dyDescent="0.2">
      <c r="A714">
        <f t="shared" si="156"/>
        <v>713</v>
      </c>
      <c r="B714">
        <f t="shared" si="158"/>
        <v>176.47058823529412</v>
      </c>
      <c r="C714">
        <f t="shared" si="157"/>
        <v>713000</v>
      </c>
      <c r="E714" t="s">
        <v>13</v>
      </c>
      <c r="F714">
        <v>21.975954430000002</v>
      </c>
      <c r="G714">
        <v>43.429000000000002</v>
      </c>
      <c r="H714">
        <f t="shared" si="149"/>
        <v>0.50602027285914941</v>
      </c>
      <c r="I714">
        <v>397.92598170000002</v>
      </c>
      <c r="J714">
        <f t="shared" si="150"/>
        <v>786.38347719076978</v>
      </c>
      <c r="K714" s="1">
        <v>1.4500000000000001E-6</v>
      </c>
      <c r="L714" s="1">
        <f t="shared" si="151"/>
        <v>60570.610465341837</v>
      </c>
      <c r="M714" s="1">
        <f t="shared" si="152"/>
        <v>530598547.67639446</v>
      </c>
      <c r="N714">
        <f t="shared" si="153"/>
        <v>11261682680558.309</v>
      </c>
      <c r="O714">
        <v>13.454227489999999</v>
      </c>
      <c r="P714" s="1">
        <f t="shared" si="154"/>
        <v>6.82126994828384E+17</v>
      </c>
      <c r="Q714" s="1">
        <f t="shared" si="155"/>
        <v>5.0699826157643184E+16</v>
      </c>
    </row>
    <row r="715" spans="1:17" x14ac:dyDescent="0.2">
      <c r="A715">
        <f t="shared" si="156"/>
        <v>714</v>
      </c>
      <c r="B715">
        <f t="shared" si="158"/>
        <v>176.47058823529412</v>
      </c>
      <c r="C715">
        <f t="shared" si="157"/>
        <v>714000</v>
      </c>
      <c r="E715" t="s">
        <v>13</v>
      </c>
      <c r="F715">
        <v>20.47010495</v>
      </c>
      <c r="G715">
        <v>43.429000000000002</v>
      </c>
      <c r="H715">
        <f t="shared" si="149"/>
        <v>0.47134644937714426</v>
      </c>
      <c r="I715">
        <v>421.72668670000002</v>
      </c>
      <c r="J715">
        <f t="shared" si="150"/>
        <v>894.72761968884299</v>
      </c>
      <c r="K715" s="1">
        <v>1.77E-6</v>
      </c>
      <c r="L715" s="1">
        <f t="shared" si="151"/>
        <v>43052.793243938533</v>
      </c>
      <c r="M715" s="1">
        <f t="shared" si="152"/>
        <v>377142468.81690156</v>
      </c>
      <c r="N715">
        <f t="shared" si="153"/>
        <v>693273899784089.75</v>
      </c>
      <c r="O715">
        <v>16.754105840000001</v>
      </c>
      <c r="P715" s="1">
        <f t="shared" si="154"/>
        <v>2.984737786882338E+19</v>
      </c>
      <c r="Q715" s="1">
        <f t="shared" si="155"/>
        <v>1.7814963182077747E+18</v>
      </c>
    </row>
    <row r="716" spans="1:17" x14ac:dyDescent="0.2">
      <c r="A716">
        <f t="shared" si="156"/>
        <v>715</v>
      </c>
      <c r="B716">
        <f t="shared" si="158"/>
        <v>176.47058823529412</v>
      </c>
      <c r="C716">
        <f t="shared" si="157"/>
        <v>715000</v>
      </c>
      <c r="E716" t="s">
        <v>13</v>
      </c>
      <c r="F716">
        <v>21.021801580000002</v>
      </c>
      <c r="G716">
        <v>43.429000000000002</v>
      </c>
      <c r="H716">
        <f t="shared" si="149"/>
        <v>0.48404986483686019</v>
      </c>
      <c r="I716">
        <v>297.6174279</v>
      </c>
      <c r="J716">
        <f t="shared" si="150"/>
        <v>614.84869539279032</v>
      </c>
      <c r="K716" s="1">
        <v>1.64E-6</v>
      </c>
      <c r="L716" s="1">
        <f t="shared" si="151"/>
        <v>49003.881204551129</v>
      </c>
      <c r="M716" s="1">
        <f t="shared" si="152"/>
        <v>429273999.35186791</v>
      </c>
      <c r="N716">
        <f t="shared" si="153"/>
        <v>16546625998.643974</v>
      </c>
      <c r="O716">
        <v>14.499695859999999</v>
      </c>
      <c r="P716" s="1">
        <f t="shared" si="154"/>
        <v>810848894773686.5</v>
      </c>
      <c r="Q716" s="1">
        <f t="shared" si="155"/>
        <v>55921786401779.5</v>
      </c>
    </row>
    <row r="717" spans="1:17" x14ac:dyDescent="0.2">
      <c r="A717">
        <f t="shared" si="156"/>
        <v>716</v>
      </c>
      <c r="B717">
        <f t="shared" si="158"/>
        <v>176.47058823529412</v>
      </c>
      <c r="C717">
        <f t="shared" si="157"/>
        <v>716000</v>
      </c>
      <c r="E717" t="s">
        <v>13</v>
      </c>
      <c r="F717">
        <v>20.00013964</v>
      </c>
      <c r="G717">
        <v>43.429000000000002</v>
      </c>
      <c r="H717">
        <f t="shared" si="149"/>
        <v>0.46052498652973817</v>
      </c>
      <c r="I717">
        <v>532.04238750000002</v>
      </c>
      <c r="J717">
        <f t="shared" si="150"/>
        <v>1155.2953760645594</v>
      </c>
      <c r="K717" s="1">
        <v>1.8899999999999999E-6</v>
      </c>
      <c r="L717" s="1">
        <f t="shared" si="151"/>
        <v>38489.18480626875</v>
      </c>
      <c r="M717" s="1">
        <f t="shared" si="152"/>
        <v>337165258.90291423</v>
      </c>
      <c r="N717">
        <f t="shared" si="153"/>
        <v>1.3937236161945373E+19</v>
      </c>
      <c r="O717">
        <v>16.89857056</v>
      </c>
      <c r="P717" s="1">
        <f t="shared" si="154"/>
        <v>5.3643285832572722E+23</v>
      </c>
      <c r="Q717" s="1">
        <f t="shared" si="155"/>
        <v>3.1744274252136937E+22</v>
      </c>
    </row>
    <row r="718" spans="1:17" x14ac:dyDescent="0.2">
      <c r="A718">
        <f t="shared" si="156"/>
        <v>717</v>
      </c>
      <c r="B718">
        <f t="shared" si="158"/>
        <v>176.47058823529412</v>
      </c>
      <c r="C718">
        <f t="shared" si="157"/>
        <v>717000</v>
      </c>
      <c r="E718" t="s">
        <v>13</v>
      </c>
      <c r="F718">
        <v>22.298645100000002</v>
      </c>
      <c r="G718">
        <v>43.429000000000002</v>
      </c>
      <c r="H718">
        <f t="shared" si="149"/>
        <v>0.51345057680351835</v>
      </c>
      <c r="I718">
        <v>354.27843819999998</v>
      </c>
      <c r="J718">
        <f t="shared" si="150"/>
        <v>689.99520928685479</v>
      </c>
      <c r="K718" s="1">
        <v>1.39E-6</v>
      </c>
      <c r="L718" s="1">
        <f t="shared" si="151"/>
        <v>65054.390448355349</v>
      </c>
      <c r="M718" s="1">
        <f t="shared" si="152"/>
        <v>569876460.32759285</v>
      </c>
      <c r="N718">
        <f t="shared" si="153"/>
        <v>288239022128.59637</v>
      </c>
      <c r="O718">
        <v>10.00228102</v>
      </c>
      <c r="P718" s="1">
        <f t="shared" si="154"/>
        <v>1.8751213888005844E+16</v>
      </c>
      <c r="Q718" s="1">
        <f t="shared" si="155"/>
        <v>1874693767402852.2</v>
      </c>
    </row>
    <row r="719" spans="1:17" x14ac:dyDescent="0.2">
      <c r="A719">
        <f t="shared" si="156"/>
        <v>718</v>
      </c>
      <c r="B719">
        <f t="shared" si="158"/>
        <v>176.47058823529412</v>
      </c>
      <c r="C719">
        <f t="shared" si="157"/>
        <v>718000</v>
      </c>
      <c r="E719" t="s">
        <v>13</v>
      </c>
      <c r="F719">
        <v>20.263020340000001</v>
      </c>
      <c r="G719">
        <v>43.429000000000002</v>
      </c>
      <c r="H719">
        <f t="shared" si="149"/>
        <v>0.46657810080821571</v>
      </c>
      <c r="I719">
        <v>2553.4272850000002</v>
      </c>
      <c r="J719">
        <f t="shared" si="150"/>
        <v>5472.6685212548628</v>
      </c>
      <c r="K719" s="1">
        <v>1.8199999999999999E-6</v>
      </c>
      <c r="L719" s="1">
        <f t="shared" si="151"/>
        <v>41027.15801360106</v>
      </c>
      <c r="M719" s="1">
        <f t="shared" si="152"/>
        <v>359397904.19914526</v>
      </c>
      <c r="N719">
        <f t="shared" si="153"/>
        <v>2.789436504649514E+90</v>
      </c>
      <c r="O719">
        <v>14.85325426</v>
      </c>
      <c r="P719" s="1">
        <f t="shared" si="154"/>
        <v>1.1444265224516263E+95</v>
      </c>
      <c r="Q719" s="1">
        <f t="shared" si="155"/>
        <v>7.704887443646483E+93</v>
      </c>
    </row>
    <row r="720" spans="1:17" x14ac:dyDescent="0.2">
      <c r="A720">
        <f t="shared" si="156"/>
        <v>719</v>
      </c>
      <c r="B720">
        <f t="shared" si="158"/>
        <v>176.47058823529412</v>
      </c>
      <c r="C720">
        <f t="shared" si="157"/>
        <v>719000</v>
      </c>
      <c r="E720" t="s">
        <v>13</v>
      </c>
      <c r="F720">
        <v>19.68273362</v>
      </c>
      <c r="G720">
        <v>43.429000000000002</v>
      </c>
      <c r="H720">
        <f t="shared" si="149"/>
        <v>0.45321636740426902</v>
      </c>
      <c r="I720">
        <v>397.92598170000002</v>
      </c>
      <c r="J720">
        <f t="shared" si="150"/>
        <v>878.00443743694291</v>
      </c>
      <c r="K720" s="1">
        <v>1.9700000000000002E-6</v>
      </c>
      <c r="L720" s="1">
        <f t="shared" si="151"/>
        <v>35763.421806756662</v>
      </c>
      <c r="M720" s="1">
        <f t="shared" si="152"/>
        <v>313287575.02718836</v>
      </c>
      <c r="N720">
        <f t="shared" si="153"/>
        <v>367047099281653.31</v>
      </c>
      <c r="O720">
        <v>16.123023109999998</v>
      </c>
      <c r="P720" s="1">
        <f t="shared" si="154"/>
        <v>1.3126860234556258E+19</v>
      </c>
      <c r="Q720" s="1">
        <f t="shared" si="155"/>
        <v>8.141686670668215E+17</v>
      </c>
    </row>
    <row r="721" spans="1:17" x14ac:dyDescent="0.2">
      <c r="A721">
        <f t="shared" si="156"/>
        <v>720</v>
      </c>
      <c r="B721">
        <f>3000/17</f>
        <v>176.47058823529412</v>
      </c>
      <c r="C721">
        <f t="shared" si="157"/>
        <v>720000</v>
      </c>
      <c r="E721" t="s">
        <v>13</v>
      </c>
      <c r="F721">
        <v>25.489746960000002</v>
      </c>
      <c r="G721">
        <v>43.429000000000002</v>
      </c>
      <c r="H721">
        <f t="shared" si="149"/>
        <v>0.58692917083055107</v>
      </c>
      <c r="I721">
        <v>563.86484810000002</v>
      </c>
      <c r="J721">
        <f t="shared" si="150"/>
        <v>960.70339680354743</v>
      </c>
      <c r="K721" s="1">
        <v>9.5799999999999998E-7</v>
      </c>
      <c r="L721" s="1">
        <f t="shared" si="151"/>
        <v>123338.88005129489</v>
      </c>
      <c r="M721" s="1">
        <f t="shared" si="152"/>
        <v>1080448589.2493434</v>
      </c>
      <c r="N721">
        <f t="shared" si="153"/>
        <v>8521059981366578</v>
      </c>
      <c r="O721">
        <v>3.9955900240000002</v>
      </c>
      <c r="P721" s="1">
        <f t="shared" si="154"/>
        <v>1.0509779949516615E+21</v>
      </c>
      <c r="Q721" s="1">
        <f t="shared" si="155"/>
        <v>2.6303449268789681E+20</v>
      </c>
    </row>
    <row r="722" spans="1:17" x14ac:dyDescent="0.2">
      <c r="A722">
        <f t="shared" si="156"/>
        <v>721</v>
      </c>
      <c r="B722">
        <f t="shared" ref="B722:B750" si="159">3000/17</f>
        <v>176.47058823529412</v>
      </c>
      <c r="C722">
        <f t="shared" si="157"/>
        <v>721000</v>
      </c>
      <c r="E722" t="s">
        <v>13</v>
      </c>
      <c r="F722">
        <v>22.20467919</v>
      </c>
      <c r="G722">
        <v>43.429000000000002</v>
      </c>
      <c r="H722">
        <f t="shared" si="149"/>
        <v>0.51128690943839372</v>
      </c>
      <c r="I722">
        <v>671.21458289999998</v>
      </c>
      <c r="J722">
        <f t="shared" si="150"/>
        <v>1312.7943831718155</v>
      </c>
      <c r="K722" s="1">
        <v>1.4100000000000001E-6</v>
      </c>
      <c r="L722" s="1">
        <f t="shared" si="151"/>
        <v>63592.273894135484</v>
      </c>
      <c r="M722" s="1">
        <f t="shared" si="152"/>
        <v>557068319.31262684</v>
      </c>
      <c r="N722">
        <f t="shared" si="153"/>
        <v>5.5624987701785227E+21</v>
      </c>
      <c r="O722">
        <v>8.6830900240000002</v>
      </c>
      <c r="P722" s="1">
        <f t="shared" si="154"/>
        <v>3.5373194532898442E+26</v>
      </c>
      <c r="Q722" s="1">
        <f t="shared" si="155"/>
        <v>4.0738025789352848E+25</v>
      </c>
    </row>
    <row r="723" spans="1:17" x14ac:dyDescent="0.2">
      <c r="A723">
        <f t="shared" si="156"/>
        <v>722</v>
      </c>
      <c r="B723">
        <f t="shared" si="159"/>
        <v>176.47058823529412</v>
      </c>
      <c r="C723">
        <f t="shared" si="157"/>
        <v>722000</v>
      </c>
      <c r="E723" t="s">
        <v>13</v>
      </c>
      <c r="F723">
        <v>20.361364269999999</v>
      </c>
      <c r="G723">
        <v>43.429000000000002</v>
      </c>
      <c r="H723">
        <f t="shared" si="149"/>
        <v>0.46884257684957054</v>
      </c>
      <c r="I723">
        <v>473.68393809999998</v>
      </c>
      <c r="J723">
        <f t="shared" si="150"/>
        <v>1010.3261979382534</v>
      </c>
      <c r="K723" s="1">
        <v>1.79E-6</v>
      </c>
      <c r="L723" s="1">
        <f t="shared" si="151"/>
        <v>42120.660961096248</v>
      </c>
      <c r="M723" s="1">
        <f t="shared" si="152"/>
        <v>368976990.01920313</v>
      </c>
      <c r="N723">
        <f t="shared" si="153"/>
        <v>5.6235853437644648E+16</v>
      </c>
      <c r="O723">
        <v>13.40100365</v>
      </c>
      <c r="P723" s="1">
        <f t="shared" si="154"/>
        <v>2.368691316504929E+21</v>
      </c>
      <c r="Q723" s="1">
        <f t="shared" si="155"/>
        <v>1.7675476989403916E+20</v>
      </c>
    </row>
    <row r="724" spans="1:17" x14ac:dyDescent="0.2">
      <c r="A724">
        <f t="shared" si="156"/>
        <v>723</v>
      </c>
      <c r="B724">
        <f t="shared" si="159"/>
        <v>176.47058823529412</v>
      </c>
      <c r="C724">
        <f t="shared" si="157"/>
        <v>723000</v>
      </c>
      <c r="E724" t="s">
        <v>13</v>
      </c>
      <c r="F724">
        <v>19.770933339999999</v>
      </c>
      <c r="G724">
        <v>43.429000000000002</v>
      </c>
      <c r="H724">
        <f t="shared" si="149"/>
        <v>0.45524726196780951</v>
      </c>
      <c r="I724">
        <v>753.90905290000001</v>
      </c>
      <c r="J724">
        <f t="shared" si="150"/>
        <v>1656.0430251490648</v>
      </c>
      <c r="K724" s="1">
        <v>1.95E-6</v>
      </c>
      <c r="L724" s="1">
        <f t="shared" si="151"/>
        <v>36454.755819749371</v>
      </c>
      <c r="M724" s="1">
        <f t="shared" si="152"/>
        <v>319343660.98100448</v>
      </c>
      <c r="N724">
        <f t="shared" si="153"/>
        <v>2.5942694114752252E+27</v>
      </c>
      <c r="O724">
        <v>14.57953163</v>
      </c>
      <c r="P724" s="1">
        <f t="shared" si="154"/>
        <v>9.4573457925974236E+31</v>
      </c>
      <c r="Q724" s="1">
        <f t="shared" si="155"/>
        <v>6.4867281285890138E+30</v>
      </c>
    </row>
    <row r="725" spans="1:17" x14ac:dyDescent="0.2">
      <c r="A725">
        <f t="shared" si="156"/>
        <v>724</v>
      </c>
      <c r="B725">
        <f t="shared" si="159"/>
        <v>176.47058823529412</v>
      </c>
      <c r="C725">
        <f t="shared" si="157"/>
        <v>724000</v>
      </c>
      <c r="E725" t="s">
        <v>13</v>
      </c>
      <c r="F725">
        <v>26.57635767</v>
      </c>
      <c r="G725">
        <v>43.429000000000002</v>
      </c>
      <c r="H725">
        <f t="shared" si="149"/>
        <v>0.61194956526744804</v>
      </c>
      <c r="I725">
        <v>671.21458289999998</v>
      </c>
      <c r="J725">
        <f t="shared" si="150"/>
        <v>1096.8462451748792</v>
      </c>
      <c r="K725" s="1">
        <v>8.4799999999999997E-7</v>
      </c>
      <c r="L725" s="1">
        <f t="shared" si="151"/>
        <v>151471.01268613138</v>
      </c>
      <c r="M725" s="1">
        <f t="shared" si="152"/>
        <v>1326886071.1305108</v>
      </c>
      <c r="N725">
        <f t="shared" si="153"/>
        <v>1.5096988143390559E+18</v>
      </c>
      <c r="O725">
        <v>2.66879562</v>
      </c>
      <c r="P725" s="1">
        <f t="shared" si="154"/>
        <v>2.2867560825898863E+23</v>
      </c>
      <c r="Q725" s="1">
        <f t="shared" si="155"/>
        <v>8.5684945877941982E+22</v>
      </c>
    </row>
    <row r="726" spans="1:17" x14ac:dyDescent="0.2">
      <c r="A726">
        <f t="shared" si="156"/>
        <v>725</v>
      </c>
      <c r="B726">
        <f t="shared" si="159"/>
        <v>176.47058823529412</v>
      </c>
      <c r="C726">
        <f t="shared" si="157"/>
        <v>725000</v>
      </c>
      <c r="E726" t="s">
        <v>13</v>
      </c>
      <c r="F726">
        <v>23.46801237</v>
      </c>
      <c r="G726">
        <v>43.429000000000002</v>
      </c>
      <c r="H726">
        <f t="shared" si="149"/>
        <v>0.5403765311197587</v>
      </c>
      <c r="I726">
        <v>375.46850110000003</v>
      </c>
      <c r="J726">
        <f t="shared" si="150"/>
        <v>694.82754982338122</v>
      </c>
      <c r="K726" s="1">
        <v>1.2100000000000001E-6</v>
      </c>
      <c r="L726" s="1">
        <f t="shared" si="151"/>
        <v>82775.480014101719</v>
      </c>
      <c r="M726" s="1">
        <f t="shared" si="152"/>
        <v>725113204.92353106</v>
      </c>
      <c r="N726">
        <f t="shared" si="153"/>
        <v>346384773393.53308</v>
      </c>
      <c r="O726">
        <v>5.942062044</v>
      </c>
      <c r="P726" s="1">
        <f t="shared" si="154"/>
        <v>2.8672165887225552E+16</v>
      </c>
      <c r="Q726" s="1">
        <f t="shared" si="155"/>
        <v>4825288876977864</v>
      </c>
    </row>
    <row r="727" spans="1:17" x14ac:dyDescent="0.2">
      <c r="A727">
        <f t="shared" si="156"/>
        <v>726</v>
      </c>
      <c r="B727">
        <f t="shared" si="159"/>
        <v>176.47058823529412</v>
      </c>
      <c r="C727">
        <f t="shared" si="157"/>
        <v>726000</v>
      </c>
      <c r="E727" t="s">
        <v>13</v>
      </c>
      <c r="F727">
        <v>25.774693060000001</v>
      </c>
      <c r="G727">
        <v>43.429000000000002</v>
      </c>
      <c r="H727">
        <f t="shared" si="149"/>
        <v>0.5934903649635036</v>
      </c>
      <c r="I727">
        <v>3414.0307790000002</v>
      </c>
      <c r="J727">
        <f t="shared" si="150"/>
        <v>5752.4620121001362</v>
      </c>
      <c r="K727" s="1">
        <v>9.2800000000000005E-7</v>
      </c>
      <c r="L727" s="1">
        <f t="shared" si="151"/>
        <v>130188.75965888779</v>
      </c>
      <c r="M727" s="1">
        <f t="shared" si="152"/>
        <v>1140453534.6118572</v>
      </c>
      <c r="N727">
        <f t="shared" si="153"/>
        <v>1.1649329992849904E+95</v>
      </c>
      <c r="O727">
        <v>3.2314476889999999</v>
      </c>
      <c r="P727" s="1">
        <f t="shared" si="154"/>
        <v>1.5166118226262091E+100</v>
      </c>
      <c r="Q727" s="1">
        <f t="shared" si="155"/>
        <v>4.693289103174491E+99</v>
      </c>
    </row>
    <row r="728" spans="1:17" x14ac:dyDescent="0.2">
      <c r="A728">
        <f t="shared" si="156"/>
        <v>727</v>
      </c>
      <c r="B728">
        <f t="shared" si="159"/>
        <v>176.47058823529412</v>
      </c>
      <c r="C728">
        <f t="shared" si="157"/>
        <v>727000</v>
      </c>
      <c r="E728" t="s">
        <v>13</v>
      </c>
      <c r="F728">
        <v>20.790338729999998</v>
      </c>
      <c r="G728">
        <v>43.429000000000002</v>
      </c>
      <c r="H728">
        <f t="shared" si="149"/>
        <v>0.47872018075479511</v>
      </c>
      <c r="I728">
        <v>397.92598170000002</v>
      </c>
      <c r="J728">
        <f t="shared" si="150"/>
        <v>831.22875888079886</v>
      </c>
      <c r="K728" s="1">
        <v>1.6899999999999999E-6</v>
      </c>
      <c r="L728" s="1">
        <f t="shared" si="151"/>
        <v>46512.628953510633</v>
      </c>
      <c r="M728" s="1">
        <f t="shared" si="152"/>
        <v>407450629.63275313</v>
      </c>
      <c r="N728">
        <f t="shared" si="153"/>
        <v>61975823540100.047</v>
      </c>
      <c r="O728">
        <v>10.097323599999999</v>
      </c>
      <c r="P728" s="1">
        <f t="shared" si="154"/>
        <v>2.8826584844089231E+18</v>
      </c>
      <c r="Q728" s="1">
        <f t="shared" si="155"/>
        <v>2.8548738245934035E+17</v>
      </c>
    </row>
    <row r="729" spans="1:17" x14ac:dyDescent="0.2">
      <c r="A729">
        <f t="shared" si="156"/>
        <v>728</v>
      </c>
      <c r="B729">
        <f t="shared" si="159"/>
        <v>176.47058823529412</v>
      </c>
      <c r="C729">
        <f t="shared" si="157"/>
        <v>728000</v>
      </c>
      <c r="E729" t="s">
        <v>13</v>
      </c>
      <c r="F729">
        <v>20.688907480000001</v>
      </c>
      <c r="G729">
        <v>43.429000000000002</v>
      </c>
      <c r="H729">
        <f t="shared" si="149"/>
        <v>0.47638461580971242</v>
      </c>
      <c r="I729">
        <v>1513.7857329999999</v>
      </c>
      <c r="J729">
        <f t="shared" si="150"/>
        <v>3177.6545311544405</v>
      </c>
      <c r="K729" s="1">
        <v>1.72E-6</v>
      </c>
      <c r="L729" s="1">
        <f t="shared" si="151"/>
        <v>45256.51723709151</v>
      </c>
      <c r="M729" s="1">
        <f t="shared" si="152"/>
        <v>396447090.9969216</v>
      </c>
      <c r="N729">
        <f t="shared" si="153"/>
        <v>3.4946341944211028E+52</v>
      </c>
      <c r="O729">
        <v>11.46213504</v>
      </c>
      <c r="P729" s="1">
        <f t="shared" si="154"/>
        <v>1.5815497265714803E+57</v>
      </c>
      <c r="Q729" s="1">
        <f t="shared" si="155"/>
        <v>1.3798037809293514E+56</v>
      </c>
    </row>
    <row r="730" spans="1:17" x14ac:dyDescent="0.2">
      <c r="A730">
        <f t="shared" si="156"/>
        <v>729</v>
      </c>
      <c r="B730">
        <f t="shared" si="159"/>
        <v>176.47058823529412</v>
      </c>
      <c r="C730">
        <f t="shared" si="157"/>
        <v>729000</v>
      </c>
      <c r="E730" t="s">
        <v>13</v>
      </c>
      <c r="F730">
        <v>20.14987189</v>
      </c>
      <c r="G730">
        <v>43.429000000000002</v>
      </c>
      <c r="H730">
        <f t="shared" si="149"/>
        <v>0.46397273457827715</v>
      </c>
      <c r="I730">
        <v>334.28426459999997</v>
      </c>
      <c r="J730">
        <f t="shared" si="150"/>
        <v>720.48256220022051</v>
      </c>
      <c r="K730" s="1">
        <v>1.8500000000000001E-6</v>
      </c>
      <c r="L730" s="1">
        <f t="shared" si="151"/>
        <v>39912.351114697965</v>
      </c>
      <c r="M730" s="1">
        <f t="shared" si="152"/>
        <v>349632195.76475418</v>
      </c>
      <c r="N730">
        <f t="shared" si="153"/>
        <v>918863204273.2052</v>
      </c>
      <c r="O730">
        <v>12.975212900000001</v>
      </c>
      <c r="P730" s="1">
        <f t="shared" si="154"/>
        <v>3.6673990835328608E+16</v>
      </c>
      <c r="Q730" s="1">
        <f t="shared" si="155"/>
        <v>2826465439756183.5</v>
      </c>
    </row>
    <row r="731" spans="1:17" x14ac:dyDescent="0.2">
      <c r="A731">
        <f t="shared" si="156"/>
        <v>730</v>
      </c>
      <c r="B731">
        <f t="shared" si="159"/>
        <v>176.47058823529412</v>
      </c>
      <c r="C731">
        <f t="shared" si="157"/>
        <v>730000</v>
      </c>
      <c r="E731" t="s">
        <v>13</v>
      </c>
      <c r="F731">
        <v>19.931607150000001</v>
      </c>
      <c r="G731">
        <v>43.429000000000002</v>
      </c>
      <c r="H731">
        <f t="shared" si="149"/>
        <v>0.45894695134587488</v>
      </c>
      <c r="I731">
        <v>354.27843819999998</v>
      </c>
      <c r="J731">
        <f t="shared" si="150"/>
        <v>771.93766547760799</v>
      </c>
      <c r="K731" s="1">
        <v>1.9E-6</v>
      </c>
      <c r="L731" s="1">
        <f t="shared" si="151"/>
        <v>38024.673854388311</v>
      </c>
      <c r="M731" s="1">
        <f t="shared" si="152"/>
        <v>333096142.9644416</v>
      </c>
      <c r="N731">
        <f t="shared" si="153"/>
        <v>6501760467639.5166</v>
      </c>
      <c r="O731">
        <v>12.948600969999999</v>
      </c>
      <c r="P731" s="1">
        <f t="shared" si="154"/>
        <v>2.4722732126134784E+17</v>
      </c>
      <c r="Q731" s="1">
        <f t="shared" si="155"/>
        <v>1.9092975514044884E+16</v>
      </c>
    </row>
    <row r="732" spans="1:17" x14ac:dyDescent="0.2">
      <c r="A732">
        <f t="shared" si="156"/>
        <v>731</v>
      </c>
      <c r="B732">
        <f t="shared" si="159"/>
        <v>176.47058823529412</v>
      </c>
      <c r="C732">
        <f t="shared" si="157"/>
        <v>731000</v>
      </c>
      <c r="E732" t="s">
        <v>13</v>
      </c>
      <c r="F732">
        <v>23.065348400000001</v>
      </c>
      <c r="G732">
        <v>43.429000000000002</v>
      </c>
      <c r="H732">
        <f t="shared" si="149"/>
        <v>0.53110475488728726</v>
      </c>
      <c r="I732">
        <v>473.68393809999998</v>
      </c>
      <c r="J732">
        <f t="shared" si="150"/>
        <v>891.88419749796196</v>
      </c>
      <c r="K732" s="1">
        <v>1.2699999999999999E-6</v>
      </c>
      <c r="L732" s="1">
        <f t="shared" si="151"/>
        <v>76181.720793474582</v>
      </c>
      <c r="M732" s="1">
        <f t="shared" si="152"/>
        <v>667351874.1508373</v>
      </c>
      <c r="N732">
        <f t="shared" si="153"/>
        <v>622222603889394.12</v>
      </c>
      <c r="O732">
        <v>6.7784367400000001</v>
      </c>
      <c r="P732" s="1">
        <f t="shared" si="154"/>
        <v>4.7401988680890556E+19</v>
      </c>
      <c r="Q732" s="1">
        <f t="shared" si="155"/>
        <v>6.9930561424536586E+18</v>
      </c>
    </row>
    <row r="733" spans="1:17" x14ac:dyDescent="0.2">
      <c r="A733">
        <f t="shared" si="156"/>
        <v>732</v>
      </c>
      <c r="B733">
        <f t="shared" si="159"/>
        <v>176.47058823529412</v>
      </c>
      <c r="C733">
        <f t="shared" si="157"/>
        <v>732000</v>
      </c>
      <c r="E733" t="s">
        <v>13</v>
      </c>
      <c r="F733">
        <v>22.011228750000001</v>
      </c>
      <c r="G733">
        <v>43.429000000000002</v>
      </c>
      <c r="H733">
        <f t="shared" si="149"/>
        <v>0.50683250247530454</v>
      </c>
      <c r="I733">
        <v>563.86484810000002</v>
      </c>
      <c r="J733">
        <f t="shared" si="150"/>
        <v>1112.5270091127875</v>
      </c>
      <c r="K733" s="1">
        <v>1.4500000000000001E-6</v>
      </c>
      <c r="L733" s="1">
        <f t="shared" si="151"/>
        <v>60765.214240638074</v>
      </c>
      <c r="M733" s="1">
        <f t="shared" si="152"/>
        <v>532303276.74798954</v>
      </c>
      <c r="N733">
        <f t="shared" si="153"/>
        <v>2.7406769566233656E+18</v>
      </c>
      <c r="O733">
        <v>8.8161496350000004</v>
      </c>
      <c r="P733" s="1">
        <f t="shared" si="154"/>
        <v>1.6653782243359876E+23</v>
      </c>
      <c r="Q733" s="1">
        <f t="shared" si="155"/>
        <v>1.889008573226182E+22</v>
      </c>
    </row>
    <row r="734" spans="1:17" x14ac:dyDescent="0.2">
      <c r="A734">
        <f t="shared" si="156"/>
        <v>733</v>
      </c>
      <c r="B734">
        <f t="shared" si="159"/>
        <v>176.47058823529412</v>
      </c>
      <c r="C734">
        <f t="shared" si="157"/>
        <v>733000</v>
      </c>
      <c r="E734" t="s">
        <v>13</v>
      </c>
      <c r="F734">
        <v>21.50851548</v>
      </c>
      <c r="G734">
        <v>43.429000000000002</v>
      </c>
      <c r="H734">
        <f t="shared" si="149"/>
        <v>0.49525698220083353</v>
      </c>
      <c r="I734">
        <v>3414.0307790000002</v>
      </c>
      <c r="J734">
        <f t="shared" si="150"/>
        <v>6893.4530994972702</v>
      </c>
      <c r="K734" s="1">
        <v>1.5400000000000001E-6</v>
      </c>
      <c r="L734" s="1">
        <f t="shared" si="151"/>
        <v>54630.429284159814</v>
      </c>
      <c r="M734" s="1">
        <f t="shared" si="152"/>
        <v>478562560.52923995</v>
      </c>
      <c r="N734">
        <f t="shared" si="153"/>
        <v>8.1235943547555983E+113</v>
      </c>
      <c r="O734">
        <v>10.02889294</v>
      </c>
      <c r="P734" s="1">
        <f t="shared" si="154"/>
        <v>4.4379544693067563E+118</v>
      </c>
      <c r="Q734" s="1">
        <f t="shared" si="155"/>
        <v>4.4251688554836202E+117</v>
      </c>
    </row>
    <row r="735" spans="1:17" x14ac:dyDescent="0.2">
      <c r="A735">
        <f t="shared" si="156"/>
        <v>734</v>
      </c>
      <c r="B735">
        <f t="shared" si="159"/>
        <v>176.47058823529412</v>
      </c>
      <c r="C735">
        <f t="shared" si="157"/>
        <v>734000</v>
      </c>
      <c r="E735" t="s">
        <v>13</v>
      </c>
      <c r="F735">
        <v>20.01589491</v>
      </c>
      <c r="G735">
        <v>43.429000000000002</v>
      </c>
      <c r="H735">
        <f t="shared" si="149"/>
        <v>0.4608877687720187</v>
      </c>
      <c r="I735">
        <v>1008.005486</v>
      </c>
      <c r="J735">
        <f t="shared" si="150"/>
        <v>2187.0953284043794</v>
      </c>
      <c r="K735" s="1">
        <v>1.88E-6</v>
      </c>
      <c r="L735" s="1">
        <f t="shared" si="151"/>
        <v>38754.901406091427</v>
      </c>
      <c r="M735" s="1">
        <f t="shared" si="152"/>
        <v>339492936.31736088</v>
      </c>
      <c r="N735">
        <f t="shared" si="153"/>
        <v>1.5287423942291601E+36</v>
      </c>
      <c r="O735">
        <v>12.173053530000001</v>
      </c>
      <c r="P735" s="1">
        <f t="shared" si="154"/>
        <v>5.924626076366325E+40</v>
      </c>
      <c r="Q735" s="1">
        <f t="shared" si="155"/>
        <v>4.86700075849114E+39</v>
      </c>
    </row>
    <row r="736" spans="1:17" x14ac:dyDescent="0.2">
      <c r="A736">
        <f t="shared" si="156"/>
        <v>735</v>
      </c>
      <c r="B736">
        <f t="shared" si="159"/>
        <v>176.47058823529412</v>
      </c>
      <c r="C736">
        <f t="shared" si="157"/>
        <v>735000</v>
      </c>
      <c r="E736" t="s">
        <v>13</v>
      </c>
      <c r="F736">
        <v>20.356957649999998</v>
      </c>
      <c r="G736">
        <v>43.429000000000002</v>
      </c>
      <c r="H736">
        <f t="shared" si="149"/>
        <v>0.46874110962720755</v>
      </c>
      <c r="I736">
        <v>1271.6805979999999</v>
      </c>
      <c r="J736">
        <f t="shared" si="150"/>
        <v>2712.9700636058456</v>
      </c>
      <c r="K736" s="1">
        <v>1.79E-6</v>
      </c>
      <c r="L736" s="1">
        <f t="shared" si="151"/>
        <v>42102.431371010738</v>
      </c>
      <c r="M736" s="1">
        <f t="shared" si="152"/>
        <v>368817298.81005406</v>
      </c>
      <c r="N736">
        <f t="shared" si="153"/>
        <v>7.3985412657171942E+44</v>
      </c>
      <c r="O736">
        <v>10.41666667</v>
      </c>
      <c r="P736" s="1">
        <f t="shared" si="154"/>
        <v>3.1149657588544911E+49</v>
      </c>
      <c r="Q736" s="1">
        <f t="shared" si="155"/>
        <v>2.9903671275433942E+48</v>
      </c>
    </row>
    <row r="737" spans="1:17" x14ac:dyDescent="0.2">
      <c r="A737">
        <f t="shared" si="156"/>
        <v>736</v>
      </c>
      <c r="B737">
        <f t="shared" si="159"/>
        <v>176.47058823529412</v>
      </c>
      <c r="C737">
        <f t="shared" si="157"/>
        <v>736000</v>
      </c>
      <c r="E737" t="s">
        <v>13</v>
      </c>
      <c r="F737">
        <v>20.589884229999999</v>
      </c>
      <c r="G737">
        <v>43.429000000000002</v>
      </c>
      <c r="H737">
        <f t="shared" si="149"/>
        <v>0.47410449768587803</v>
      </c>
      <c r="I737">
        <v>1700.2860149999999</v>
      </c>
      <c r="J737">
        <f t="shared" si="150"/>
        <v>3586.3106620990948</v>
      </c>
      <c r="K737" s="1">
        <v>1.7400000000000001E-6</v>
      </c>
      <c r="L737" s="1">
        <f t="shared" si="151"/>
        <v>44309.109558052129</v>
      </c>
      <c r="M737" s="1">
        <f t="shared" si="152"/>
        <v>388147799.72853667</v>
      </c>
      <c r="N737">
        <f t="shared" si="153"/>
        <v>1.9604256345163049E+59</v>
      </c>
      <c r="O737">
        <v>9.6525243310000004</v>
      </c>
      <c r="P737" s="1">
        <f t="shared" si="154"/>
        <v>8.6864714220196807E+63</v>
      </c>
      <c r="Q737" s="1">
        <f t="shared" si="155"/>
        <v>8.9991707082490851E+62</v>
      </c>
    </row>
    <row r="738" spans="1:17" x14ac:dyDescent="0.2">
      <c r="A738">
        <f t="shared" si="156"/>
        <v>737</v>
      </c>
      <c r="B738">
        <f t="shared" si="159"/>
        <v>176.47058823529412</v>
      </c>
      <c r="C738">
        <f t="shared" si="157"/>
        <v>737000</v>
      </c>
      <c r="E738" t="s">
        <v>13</v>
      </c>
      <c r="F738">
        <v>21.970899379999999</v>
      </c>
      <c r="G738">
        <v>43.429000000000002</v>
      </c>
      <c r="H738">
        <f t="shared" si="149"/>
        <v>0.50590387483018251</v>
      </c>
      <c r="I738">
        <v>897.43978930000003</v>
      </c>
      <c r="J738">
        <f t="shared" si="150"/>
        <v>1773.9334168990995</v>
      </c>
      <c r="K738" s="1">
        <v>1.4500000000000001E-6</v>
      </c>
      <c r="L738" s="1">
        <f t="shared" si="151"/>
        <v>60542.747989579446</v>
      </c>
      <c r="M738" s="1">
        <f t="shared" si="152"/>
        <v>530354472.38871592</v>
      </c>
      <c r="N738">
        <f t="shared" si="153"/>
        <v>2.2960047058259971E+29</v>
      </c>
      <c r="O738">
        <v>8.2344890510000006</v>
      </c>
      <c r="P738" s="1">
        <f t="shared" si="154"/>
        <v>1.3900643428771183E+34</v>
      </c>
      <c r="Q738" s="1">
        <f t="shared" si="155"/>
        <v>1.6881002989594213E+33</v>
      </c>
    </row>
    <row r="739" spans="1:17" x14ac:dyDescent="0.2">
      <c r="A739">
        <f t="shared" si="156"/>
        <v>738</v>
      </c>
      <c r="B739">
        <f t="shared" si="159"/>
        <v>176.47058823529412</v>
      </c>
      <c r="C739">
        <f t="shared" si="157"/>
        <v>738000</v>
      </c>
      <c r="E739" t="s">
        <v>13</v>
      </c>
      <c r="F739">
        <v>22.176691739999999</v>
      </c>
      <c r="G739">
        <v>43.429000000000002</v>
      </c>
      <c r="H739">
        <f t="shared" si="149"/>
        <v>0.51064246793617163</v>
      </c>
      <c r="I739">
        <v>502.01586959999997</v>
      </c>
      <c r="J739">
        <f t="shared" si="150"/>
        <v>983.10638288460973</v>
      </c>
      <c r="K739" s="1">
        <v>1.42E-6</v>
      </c>
      <c r="L739" s="1">
        <f t="shared" si="151"/>
        <v>62985.362965183682</v>
      </c>
      <c r="M739" s="1">
        <f t="shared" si="152"/>
        <v>551751779.57500911</v>
      </c>
      <c r="N739">
        <f t="shared" si="153"/>
        <v>1.9974620390997208E+16</v>
      </c>
      <c r="O739">
        <v>8.1888686130000004</v>
      </c>
      <c r="P739" s="1">
        <f t="shared" si="154"/>
        <v>1.2581087154187183E+21</v>
      </c>
      <c r="Q739" s="1">
        <f t="shared" si="155"/>
        <v>1.536364514899463E+20</v>
      </c>
    </row>
    <row r="740" spans="1:17" x14ac:dyDescent="0.2">
      <c r="A740">
        <f t="shared" si="156"/>
        <v>739</v>
      </c>
      <c r="B740">
        <f t="shared" si="159"/>
        <v>176.47058823529412</v>
      </c>
      <c r="C740">
        <f t="shared" si="157"/>
        <v>739000</v>
      </c>
      <c r="E740" t="s">
        <v>13</v>
      </c>
      <c r="F740">
        <v>22.128123519999999</v>
      </c>
      <c r="G740">
        <v>43.429000000000002</v>
      </c>
      <c r="H740">
        <f t="shared" si="149"/>
        <v>0.50952413180133083</v>
      </c>
      <c r="I740">
        <v>1199.911617</v>
      </c>
      <c r="J740">
        <f t="shared" si="150"/>
        <v>2354.9652354206041</v>
      </c>
      <c r="K740" s="1">
        <v>1.42E-6</v>
      </c>
      <c r="L740" s="1">
        <f t="shared" si="151"/>
        <v>62709.781989119496</v>
      </c>
      <c r="M740" s="1">
        <f t="shared" si="152"/>
        <v>549337690.22468674</v>
      </c>
      <c r="N740">
        <f t="shared" si="153"/>
        <v>9.0511300211899289E+38</v>
      </c>
      <c r="O740">
        <v>8.1052311439999993</v>
      </c>
      <c r="P740" s="1">
        <f t="shared" si="154"/>
        <v>5.6759439038399498E+43</v>
      </c>
      <c r="Q740" s="1">
        <f t="shared" si="155"/>
        <v>7.0028155927935999E+42</v>
      </c>
    </row>
    <row r="741" spans="1:17" x14ac:dyDescent="0.2">
      <c r="A741">
        <f t="shared" si="156"/>
        <v>740</v>
      </c>
      <c r="B741">
        <f t="shared" si="159"/>
        <v>176.47058823529412</v>
      </c>
      <c r="C741">
        <f t="shared" si="157"/>
        <v>740000</v>
      </c>
      <c r="E741" t="s">
        <v>13</v>
      </c>
      <c r="F741">
        <v>22.224690689999999</v>
      </c>
      <c r="G741">
        <v>43.429000000000002</v>
      </c>
      <c r="H741">
        <f t="shared" si="149"/>
        <v>0.51174769600957881</v>
      </c>
      <c r="I741">
        <v>2553.4272850000002</v>
      </c>
      <c r="J741">
        <f t="shared" si="150"/>
        <v>4989.6214578212885</v>
      </c>
      <c r="K741" s="1">
        <v>1.4100000000000001E-6</v>
      </c>
      <c r="L741" s="1">
        <f t="shared" si="151"/>
        <v>63706.947942759951</v>
      </c>
      <c r="M741" s="1">
        <f t="shared" si="152"/>
        <v>558072863.97857714</v>
      </c>
      <c r="N741">
        <f t="shared" si="153"/>
        <v>2.9376693883672361E+82</v>
      </c>
      <c r="O741">
        <v>8.3409367400000001</v>
      </c>
      <c r="P741" s="1">
        <f t="shared" si="154"/>
        <v>1.8714995079775099E+87</v>
      </c>
      <c r="Q741" s="1">
        <f t="shared" si="155"/>
        <v>2.2437521903295359E+86</v>
      </c>
    </row>
    <row r="742" spans="1:17" x14ac:dyDescent="0.2">
      <c r="A742">
        <f t="shared" si="156"/>
        <v>741</v>
      </c>
      <c r="B742">
        <f t="shared" si="159"/>
        <v>176.47058823529412</v>
      </c>
      <c r="C742">
        <f t="shared" si="157"/>
        <v>741000</v>
      </c>
      <c r="E742" t="s">
        <v>13</v>
      </c>
      <c r="F742">
        <v>24.12873441</v>
      </c>
      <c r="G742">
        <v>43.429000000000002</v>
      </c>
      <c r="H742">
        <f t="shared" si="149"/>
        <v>0.55559037532524347</v>
      </c>
      <c r="I742">
        <v>597.59067030000006</v>
      </c>
      <c r="J742">
        <f t="shared" si="150"/>
        <v>1075.5957929439824</v>
      </c>
      <c r="K742" s="1">
        <v>1.1200000000000001E-6</v>
      </c>
      <c r="L742" s="1">
        <f t="shared" si="151"/>
        <v>94533.453703426247</v>
      </c>
      <c r="M742" s="1">
        <f t="shared" si="152"/>
        <v>828113054.44201398</v>
      </c>
      <c r="N742">
        <f t="shared" si="153"/>
        <v>6.7288287828403878E+17</v>
      </c>
      <c r="O742">
        <v>3.5850060830000001</v>
      </c>
      <c r="P742" s="1">
        <f t="shared" si="154"/>
        <v>6.3609942422092379E+22</v>
      </c>
      <c r="Q742" s="1">
        <f t="shared" si="155"/>
        <v>1.7743329006812282E+22</v>
      </c>
    </row>
    <row r="743" spans="1:17" x14ac:dyDescent="0.2">
      <c r="A743">
        <f t="shared" si="156"/>
        <v>742</v>
      </c>
      <c r="B743">
        <f t="shared" si="159"/>
        <v>176.47058823529412</v>
      </c>
      <c r="C743">
        <f t="shared" si="157"/>
        <v>742000</v>
      </c>
      <c r="E743" t="s">
        <v>13</v>
      </c>
      <c r="F743">
        <v>22.238352379999998</v>
      </c>
      <c r="G743">
        <v>43.429000000000002</v>
      </c>
      <c r="H743">
        <f t="shared" si="149"/>
        <v>0.51206227129337534</v>
      </c>
      <c r="I743">
        <v>446.95095679999997</v>
      </c>
      <c r="J743">
        <f t="shared" si="150"/>
        <v>872.84492894015386</v>
      </c>
      <c r="K743" s="1">
        <v>1.4100000000000001E-6</v>
      </c>
      <c r="L743" s="1">
        <f t="shared" si="151"/>
        <v>63785.294326929579</v>
      </c>
      <c r="M743" s="1">
        <f t="shared" si="152"/>
        <v>558759178.3039031</v>
      </c>
      <c r="N743">
        <f t="shared" si="153"/>
        <v>301656443362753.31</v>
      </c>
      <c r="O743">
        <v>5.5885036499999998</v>
      </c>
      <c r="P743" s="1">
        <f t="shared" si="154"/>
        <v>1.9241245025507983E+19</v>
      </c>
      <c r="Q743" s="1">
        <f t="shared" si="155"/>
        <v>3.4430048239313546E+18</v>
      </c>
    </row>
    <row r="744" spans="1:17" x14ac:dyDescent="0.2">
      <c r="A744">
        <f t="shared" si="156"/>
        <v>743</v>
      </c>
      <c r="B744">
        <f t="shared" si="159"/>
        <v>176.47058823529412</v>
      </c>
      <c r="C744">
        <f t="shared" si="157"/>
        <v>743000</v>
      </c>
      <c r="E744" t="s">
        <v>13</v>
      </c>
      <c r="F744">
        <v>21.97162397</v>
      </c>
      <c r="G744">
        <v>43.429000000000002</v>
      </c>
      <c r="H744">
        <f t="shared" si="149"/>
        <v>0.50592055930369106</v>
      </c>
      <c r="I744">
        <v>2145.048581</v>
      </c>
      <c r="J744">
        <f t="shared" si="150"/>
        <v>4239.8920967992972</v>
      </c>
      <c r="K744" s="1">
        <v>1.4500000000000001E-6</v>
      </c>
      <c r="L744" s="1">
        <f t="shared" si="151"/>
        <v>60546.741398532926</v>
      </c>
      <c r="M744" s="1">
        <f t="shared" si="152"/>
        <v>530389454.65114844</v>
      </c>
      <c r="N744">
        <f t="shared" si="153"/>
        <v>1.2196522140838529E+70</v>
      </c>
      <c r="O744">
        <v>7.4247262770000004</v>
      </c>
      <c r="P744" s="1">
        <f t="shared" si="154"/>
        <v>7.3845967202283157E+74</v>
      </c>
      <c r="Q744" s="1">
        <f t="shared" si="155"/>
        <v>9.9459514663914329E+73</v>
      </c>
    </row>
    <row r="745" spans="1:17" x14ac:dyDescent="0.2">
      <c r="A745">
        <f t="shared" si="156"/>
        <v>744</v>
      </c>
      <c r="B745">
        <f t="shared" si="159"/>
        <v>176.47058823529412</v>
      </c>
      <c r="C745">
        <f t="shared" si="157"/>
        <v>744000</v>
      </c>
      <c r="E745" t="s">
        <v>13</v>
      </c>
      <c r="F745">
        <v>22.411928060000001</v>
      </c>
      <c r="G745">
        <v>43.429000000000002</v>
      </c>
      <c r="H745">
        <f t="shared" si="149"/>
        <v>0.51605904027262883</v>
      </c>
      <c r="I745">
        <v>1428.3532270000001</v>
      </c>
      <c r="J745">
        <f t="shared" si="150"/>
        <v>2767.8097185264214</v>
      </c>
      <c r="K745" s="1">
        <v>1.3799999999999999E-6</v>
      </c>
      <c r="L745" s="1">
        <f t="shared" si="151"/>
        <v>66193.26669214321</v>
      </c>
      <c r="M745" s="1">
        <f t="shared" si="152"/>
        <v>579853016.22317457</v>
      </c>
      <c r="N745">
        <f t="shared" si="153"/>
        <v>5.9541807576205703E+45</v>
      </c>
      <c r="O745">
        <v>7.4817518249999999</v>
      </c>
      <c r="P745" s="1">
        <f t="shared" si="154"/>
        <v>3.9412667482240574E+50</v>
      </c>
      <c r="Q745" s="1">
        <f t="shared" si="155"/>
        <v>5.2678394584734271E+49</v>
      </c>
    </row>
    <row r="746" spans="1:17" x14ac:dyDescent="0.2">
      <c r="A746">
        <f t="shared" si="156"/>
        <v>745</v>
      </c>
      <c r="B746">
        <f t="shared" si="159"/>
        <v>176.47058823529412</v>
      </c>
      <c r="C746">
        <f t="shared" si="157"/>
        <v>745000</v>
      </c>
      <c r="E746" t="s">
        <v>13</v>
      </c>
      <c r="F746">
        <v>22.400003770000001</v>
      </c>
      <c r="G746">
        <v>43.429000000000002</v>
      </c>
      <c r="H746">
        <f t="shared" si="149"/>
        <v>0.51578447051509357</v>
      </c>
      <c r="I746">
        <v>3039.5539570000001</v>
      </c>
      <c r="J746">
        <f t="shared" si="150"/>
        <v>5893.0699366821136</v>
      </c>
      <c r="K746" s="1">
        <v>1.3799999999999999E-6</v>
      </c>
      <c r="L746" s="1">
        <f t="shared" si="151"/>
        <v>66122.849035083826</v>
      </c>
      <c r="M746" s="1">
        <f t="shared" si="152"/>
        <v>579236157.54733431</v>
      </c>
      <c r="N746">
        <f t="shared" si="153"/>
        <v>2.4458977224775215E+97</v>
      </c>
      <c r="O746">
        <v>7.2156326030000004</v>
      </c>
      <c r="P746" s="1">
        <f t="shared" si="154"/>
        <v>1.6172972585863652E+102</v>
      </c>
      <c r="Q746" s="1">
        <f t="shared" si="155"/>
        <v>2.241379720350439E+101</v>
      </c>
    </row>
    <row r="747" spans="1:17" x14ac:dyDescent="0.2">
      <c r="A747">
        <f t="shared" si="156"/>
        <v>746</v>
      </c>
      <c r="B747">
        <f t="shared" si="159"/>
        <v>176.47058823529412</v>
      </c>
      <c r="C747">
        <f t="shared" si="157"/>
        <v>746000</v>
      </c>
      <c r="E747" t="s">
        <v>13</v>
      </c>
      <c r="F747">
        <v>22.42469256</v>
      </c>
      <c r="G747">
        <v>43.429000000000002</v>
      </c>
      <c r="H747">
        <f t="shared" si="149"/>
        <v>0.51635295678003179</v>
      </c>
      <c r="I747">
        <v>3414.0307790000002</v>
      </c>
      <c r="J747">
        <f t="shared" si="150"/>
        <v>6611.8160730401114</v>
      </c>
      <c r="K747" s="1">
        <v>1.37E-6</v>
      </c>
      <c r="L747" s="1">
        <f t="shared" si="151"/>
        <v>66752.40070043075</v>
      </c>
      <c r="M747" s="1">
        <f t="shared" si="152"/>
        <v>584751030.13577342</v>
      </c>
      <c r="N747">
        <f t="shared" si="153"/>
        <v>1.8135010191480806E+109</v>
      </c>
      <c r="O747">
        <v>7.173813869</v>
      </c>
      <c r="P747" s="1">
        <f t="shared" si="154"/>
        <v>1.2105554670081221E+114</v>
      </c>
      <c r="Q747" s="1">
        <f t="shared" si="155"/>
        <v>1.687464282059591E+113</v>
      </c>
    </row>
    <row r="748" spans="1:17" x14ac:dyDescent="0.2">
      <c r="A748">
        <f t="shared" si="156"/>
        <v>747</v>
      </c>
      <c r="B748">
        <f t="shared" si="159"/>
        <v>176.47058823529412</v>
      </c>
      <c r="C748">
        <f t="shared" si="157"/>
        <v>747000</v>
      </c>
      <c r="E748" t="s">
        <v>13</v>
      </c>
      <c r="F748">
        <v>22.076082970000002</v>
      </c>
      <c r="G748">
        <v>43.429000000000002</v>
      </c>
      <c r="H748">
        <f t="shared" si="149"/>
        <v>0.50832584148840643</v>
      </c>
      <c r="I748">
        <v>264.97248830000001</v>
      </c>
      <c r="J748">
        <f t="shared" si="150"/>
        <v>521.26503646587355</v>
      </c>
      <c r="K748" s="1">
        <v>1.4300000000000001E-6</v>
      </c>
      <c r="L748" s="1">
        <f t="shared" si="151"/>
        <v>61978.69948660105</v>
      </c>
      <c r="M748" s="1">
        <f t="shared" si="152"/>
        <v>542933407.50262523</v>
      </c>
      <c r="N748">
        <f t="shared" si="153"/>
        <v>471169323.64258087</v>
      </c>
      <c r="O748">
        <v>7.6110097320000003</v>
      </c>
      <c r="P748" s="1">
        <f t="shared" si="154"/>
        <v>29202461917348.59</v>
      </c>
      <c r="Q748" s="1">
        <f t="shared" si="155"/>
        <v>3836870920630.77</v>
      </c>
    </row>
    <row r="749" spans="1:17" x14ac:dyDescent="0.2">
      <c r="A749">
        <f t="shared" si="156"/>
        <v>748</v>
      </c>
      <c r="B749">
        <f t="shared" si="159"/>
        <v>176.47058823529412</v>
      </c>
      <c r="C749">
        <f t="shared" si="157"/>
        <v>748000</v>
      </c>
      <c r="E749" t="s">
        <v>13</v>
      </c>
      <c r="F749">
        <v>21.450989750000002</v>
      </c>
      <c r="G749">
        <v>43.429000000000002</v>
      </c>
      <c r="H749">
        <f t="shared" si="149"/>
        <v>0.4939323896474706</v>
      </c>
      <c r="I749">
        <v>2553.4272850000002</v>
      </c>
      <c r="J749">
        <f t="shared" si="150"/>
        <v>5169.5886694582478</v>
      </c>
      <c r="K749" s="1">
        <v>1.55E-6</v>
      </c>
      <c r="L749" s="1">
        <f t="shared" si="151"/>
        <v>53988.024194323378</v>
      </c>
      <c r="M749" s="1">
        <f t="shared" si="152"/>
        <v>472935091.94227278</v>
      </c>
      <c r="N749">
        <f t="shared" si="153"/>
        <v>2.7552320408215929E+85</v>
      </c>
      <c r="O749">
        <v>5.9154501220000002</v>
      </c>
      <c r="P749" s="1">
        <f t="shared" si="154"/>
        <v>1.4874953408085112E+90</v>
      </c>
      <c r="Q749" s="1">
        <f t="shared" si="155"/>
        <v>2.5145936659602708E+89</v>
      </c>
    </row>
    <row r="750" spans="1:17" x14ac:dyDescent="0.2">
      <c r="A750">
        <f t="shared" si="156"/>
        <v>749</v>
      </c>
      <c r="B750">
        <f t="shared" si="159"/>
        <v>176.47058823529412</v>
      </c>
      <c r="C750">
        <f t="shared" si="157"/>
        <v>749000</v>
      </c>
      <c r="E750" t="s">
        <v>13</v>
      </c>
      <c r="F750">
        <v>21.885554160000002</v>
      </c>
      <c r="G750">
        <v>43.429000000000002</v>
      </c>
      <c r="H750">
        <f t="shared" si="149"/>
        <v>0.50393870823643194</v>
      </c>
      <c r="I750">
        <v>1909.763363</v>
      </c>
      <c r="J750">
        <f t="shared" si="150"/>
        <v>3789.6738864997051</v>
      </c>
      <c r="K750" s="1">
        <v>1.4699999999999999E-6</v>
      </c>
      <c r="L750" s="1">
        <f t="shared" si="151"/>
        <v>59255.985053767537</v>
      </c>
      <c r="M750" s="1">
        <f t="shared" si="152"/>
        <v>519082429.07100362</v>
      </c>
      <c r="N750">
        <f t="shared" si="153"/>
        <v>4.4760029601925068E+62</v>
      </c>
      <c r="O750">
        <v>6.4438868610000002</v>
      </c>
      <c r="P750" s="1">
        <f t="shared" si="154"/>
        <v>2.6522996450978645E+67</v>
      </c>
      <c r="Q750" s="1">
        <f t="shared" si="155"/>
        <v>4.1159935025399641E+66</v>
      </c>
    </row>
    <row r="751" spans="1:17" x14ac:dyDescent="0.2">
      <c r="A751">
        <f t="shared" si="156"/>
        <v>750</v>
      </c>
      <c r="B751">
        <f>3000/17</f>
        <v>176.47058823529412</v>
      </c>
      <c r="C751">
        <f t="shared" si="157"/>
        <v>750000</v>
      </c>
      <c r="E751" t="s">
        <v>13</v>
      </c>
      <c r="F751">
        <v>22.135715050000002</v>
      </c>
      <c r="G751">
        <v>43.429000000000002</v>
      </c>
      <c r="H751">
        <f t="shared" si="149"/>
        <v>0.50969893504340424</v>
      </c>
      <c r="I751">
        <v>1909.763363</v>
      </c>
      <c r="J751">
        <f t="shared" si="150"/>
        <v>3746.8458960726903</v>
      </c>
      <c r="K751" s="1">
        <v>1.42E-6</v>
      </c>
      <c r="L751" s="1">
        <f t="shared" si="151"/>
        <v>62752.817256227107</v>
      </c>
      <c r="M751" s="1">
        <f t="shared" si="152"/>
        <v>549714679.16454947</v>
      </c>
      <c r="N751">
        <f t="shared" si="153"/>
        <v>8.7818673675237018E+61</v>
      </c>
      <c r="O751">
        <v>6.7024026760000002</v>
      </c>
      <c r="P751" s="1">
        <f t="shared" si="154"/>
        <v>5.5108691808263908E+66</v>
      </c>
      <c r="Q751" s="1">
        <f t="shared" si="155"/>
        <v>8.2222293216725711E+65</v>
      </c>
    </row>
    <row r="752" spans="1:17" x14ac:dyDescent="0.2">
      <c r="A752">
        <f t="shared" si="156"/>
        <v>751</v>
      </c>
      <c r="B752">
        <f t="shared" ref="B752:B800" si="160">3000/17</f>
        <v>176.47058823529412</v>
      </c>
      <c r="C752">
        <f t="shared" si="157"/>
        <v>751000</v>
      </c>
      <c r="E752" t="s">
        <v>13</v>
      </c>
      <c r="F752">
        <v>22.332802480000002</v>
      </c>
      <c r="G752">
        <v>43.429000000000002</v>
      </c>
      <c r="H752">
        <f t="shared" si="149"/>
        <v>0.51423708766031917</v>
      </c>
      <c r="I752">
        <v>4064.0008910000001</v>
      </c>
      <c r="J752">
        <f t="shared" si="150"/>
        <v>7902.9711946495927</v>
      </c>
      <c r="K752" s="1">
        <v>1.39E-6</v>
      </c>
      <c r="L752" s="1">
        <f t="shared" si="151"/>
        <v>65253.845566619297</v>
      </c>
      <c r="M752" s="1">
        <f t="shared" si="152"/>
        <v>571623687.16358507</v>
      </c>
      <c r="N752">
        <f t="shared" si="153"/>
        <v>3.8187515934700419E+130</v>
      </c>
      <c r="O752">
        <v>6.5997566909999996</v>
      </c>
      <c r="P752" s="1">
        <f t="shared" si="154"/>
        <v>2.4918822673757548E+135</v>
      </c>
      <c r="Q752" s="1">
        <f t="shared" si="155"/>
        <v>3.7757183848518255E+134</v>
      </c>
    </row>
    <row r="753" spans="1:17" x14ac:dyDescent="0.2">
      <c r="A753">
        <f t="shared" si="156"/>
        <v>752</v>
      </c>
      <c r="B753">
        <f t="shared" si="160"/>
        <v>176.47058823529412</v>
      </c>
      <c r="C753">
        <f t="shared" si="157"/>
        <v>752000</v>
      </c>
      <c r="E753" t="s">
        <v>13</v>
      </c>
      <c r="F753">
        <v>22.550638759999998</v>
      </c>
      <c r="G753">
        <v>43.429000000000002</v>
      </c>
      <c r="H753">
        <f t="shared" si="149"/>
        <v>0.51925300513481765</v>
      </c>
      <c r="I753">
        <v>1068.2961989999999</v>
      </c>
      <c r="J753">
        <f t="shared" si="150"/>
        <v>2057.371239907663</v>
      </c>
      <c r="K753" s="1">
        <v>1.35E-6</v>
      </c>
      <c r="L753" s="1">
        <f t="shared" si="151"/>
        <v>68504.38769344287</v>
      </c>
      <c r="M753" s="1">
        <f t="shared" si="152"/>
        <v>600098436.19455957</v>
      </c>
      <c r="N753">
        <f t="shared" si="153"/>
        <v>1.101395560601333E+34</v>
      </c>
      <c r="O753">
        <v>6.2918187349999997</v>
      </c>
      <c r="P753" s="1">
        <f t="shared" si="154"/>
        <v>7.5450428487270565E+38</v>
      </c>
      <c r="Q753" s="1">
        <f t="shared" si="155"/>
        <v>1.1991831243890812E+38</v>
      </c>
    </row>
    <row r="754" spans="1:17" x14ac:dyDescent="0.2">
      <c r="A754">
        <f t="shared" si="156"/>
        <v>753</v>
      </c>
      <c r="B754">
        <f t="shared" si="160"/>
        <v>176.47058823529412</v>
      </c>
      <c r="C754">
        <f t="shared" si="157"/>
        <v>753000</v>
      </c>
      <c r="E754" t="s">
        <v>13</v>
      </c>
      <c r="F754">
        <v>23.285718200000002</v>
      </c>
      <c r="G754">
        <v>43.429000000000002</v>
      </c>
      <c r="H754">
        <f t="shared" si="149"/>
        <v>0.53617900941767027</v>
      </c>
      <c r="I754">
        <v>502.01586959999997</v>
      </c>
      <c r="J754">
        <f t="shared" si="150"/>
        <v>936.28407823205544</v>
      </c>
      <c r="K754" s="1">
        <v>1.24E-6</v>
      </c>
      <c r="L754" s="1">
        <f t="shared" si="151"/>
        <v>79522.87099843481</v>
      </c>
      <c r="M754" s="1">
        <f t="shared" si="152"/>
        <v>696620349.94628894</v>
      </c>
      <c r="N754">
        <f t="shared" si="153"/>
        <v>3366735632930224</v>
      </c>
      <c r="O754">
        <v>4.4708029199999997</v>
      </c>
      <c r="P754" s="1">
        <f t="shared" si="154"/>
        <v>2.6773248342334397E+20</v>
      </c>
      <c r="Q754" s="1">
        <f t="shared" si="155"/>
        <v>5.9884653431188144E+19</v>
      </c>
    </row>
    <row r="755" spans="1:17" x14ac:dyDescent="0.2">
      <c r="A755">
        <f t="shared" si="156"/>
        <v>754</v>
      </c>
      <c r="B755">
        <f t="shared" si="160"/>
        <v>176.47058823529412</v>
      </c>
      <c r="C755">
        <f t="shared" si="157"/>
        <v>754000</v>
      </c>
      <c r="E755" t="s">
        <v>13</v>
      </c>
      <c r="F755">
        <v>22.442561959999999</v>
      </c>
      <c r="G755">
        <v>43.429000000000002</v>
      </c>
      <c r="H755">
        <f t="shared" si="149"/>
        <v>0.51676441916691607</v>
      </c>
      <c r="I755">
        <v>502.01586959999997</v>
      </c>
      <c r="J755">
        <f t="shared" si="150"/>
        <v>971.45981994911244</v>
      </c>
      <c r="K755" s="1">
        <v>1.37E-6</v>
      </c>
      <c r="L755" s="1">
        <f t="shared" si="151"/>
        <v>66858.828077739861</v>
      </c>
      <c r="M755" s="1">
        <f t="shared" si="152"/>
        <v>585683333.96100116</v>
      </c>
      <c r="N755">
        <f t="shared" si="153"/>
        <v>1.2827314920477538E+16</v>
      </c>
      <c r="O755">
        <v>5.3185827249999997</v>
      </c>
      <c r="P755" s="1">
        <f t="shared" si="154"/>
        <v>8.5761924296723504E+20</v>
      </c>
      <c r="Q755" s="1">
        <f t="shared" si="155"/>
        <v>1.6124958232500466E+20</v>
      </c>
    </row>
    <row r="756" spans="1:17" x14ac:dyDescent="0.2">
      <c r="A756">
        <f t="shared" si="156"/>
        <v>755</v>
      </c>
      <c r="B756">
        <f t="shared" si="160"/>
        <v>176.47058823529412</v>
      </c>
      <c r="C756">
        <f t="shared" si="157"/>
        <v>755000</v>
      </c>
      <c r="E756" t="s">
        <v>13</v>
      </c>
      <c r="F756">
        <v>22.12576808</v>
      </c>
      <c r="G756">
        <v>43.429000000000002</v>
      </c>
      <c r="H756">
        <f t="shared" si="149"/>
        <v>0.50946989523129704</v>
      </c>
      <c r="I756">
        <v>3414.0307790000002</v>
      </c>
      <c r="J756">
        <f t="shared" si="150"/>
        <v>6701.1433078887721</v>
      </c>
      <c r="K756" s="1">
        <v>1.42E-6</v>
      </c>
      <c r="L756" s="1">
        <f t="shared" si="151"/>
        <v>62696.43234677265</v>
      </c>
      <c r="M756" s="1">
        <f t="shared" si="152"/>
        <v>549220747.35772836</v>
      </c>
      <c r="N756">
        <f t="shared" si="153"/>
        <v>5.4169581513458352E+110</v>
      </c>
      <c r="O756">
        <v>5.7633819949999996</v>
      </c>
      <c r="P756" s="1">
        <f t="shared" si="154"/>
        <v>3.396239502611528E+115</v>
      </c>
      <c r="Q756" s="1">
        <f t="shared" si="155"/>
        <v>5.8927891740612074E+114</v>
      </c>
    </row>
    <row r="757" spans="1:17" x14ac:dyDescent="0.2">
      <c r="A757">
        <f t="shared" si="156"/>
        <v>756</v>
      </c>
      <c r="B757">
        <f t="shared" si="160"/>
        <v>176.47058823529412</v>
      </c>
      <c r="C757">
        <f t="shared" si="157"/>
        <v>756000</v>
      </c>
      <c r="E757" t="s">
        <v>13</v>
      </c>
      <c r="F757">
        <v>22.373457139999999</v>
      </c>
      <c r="G757">
        <v>43.429000000000002</v>
      </c>
      <c r="H757">
        <f t="shared" si="149"/>
        <v>0.51517320546178813</v>
      </c>
      <c r="I757">
        <v>446.95095679999997</v>
      </c>
      <c r="J757">
        <f t="shared" si="150"/>
        <v>867.57415188036521</v>
      </c>
      <c r="K757" s="1">
        <v>1.3799999999999999E-6</v>
      </c>
      <c r="L757" s="1">
        <f t="shared" si="151"/>
        <v>65966.215251913352</v>
      </c>
      <c r="M757" s="1">
        <f t="shared" si="152"/>
        <v>577864045.60676098</v>
      </c>
      <c r="N757">
        <f t="shared" si="153"/>
        <v>246868579413304.31</v>
      </c>
      <c r="O757">
        <v>5.73296837</v>
      </c>
      <c r="P757" s="1">
        <f t="shared" si="154"/>
        <v>1.6284985848512098E+19</v>
      </c>
      <c r="Q757" s="1">
        <f t="shared" si="155"/>
        <v>2.8405853298841938E+18</v>
      </c>
    </row>
    <row r="758" spans="1:17" x14ac:dyDescent="0.2">
      <c r="A758">
        <f t="shared" si="156"/>
        <v>757</v>
      </c>
      <c r="B758">
        <f t="shared" si="160"/>
        <v>176.47058823529412</v>
      </c>
      <c r="C758">
        <f t="shared" si="157"/>
        <v>757000</v>
      </c>
      <c r="E758" t="s">
        <v>13</v>
      </c>
      <c r="F758">
        <v>22.565596580000001</v>
      </c>
      <c r="G758">
        <v>43.429000000000002</v>
      </c>
      <c r="H758">
        <f t="shared" si="149"/>
        <v>0.51959742522277741</v>
      </c>
      <c r="I758">
        <v>563.86484810000002</v>
      </c>
      <c r="J758">
        <f t="shared" si="150"/>
        <v>1085.1956163143859</v>
      </c>
      <c r="K758" s="1">
        <v>1.35E-6</v>
      </c>
      <c r="L758" s="1">
        <f t="shared" si="151"/>
        <v>68595.295640194046</v>
      </c>
      <c r="M758" s="1">
        <f t="shared" si="152"/>
        <v>600894789.80809987</v>
      </c>
      <c r="N758">
        <f t="shared" si="153"/>
        <v>9.693494940043575E+17</v>
      </c>
      <c r="O758">
        <v>4.8281630169999996</v>
      </c>
      <c r="P758" s="1">
        <f t="shared" si="154"/>
        <v>6.6492815119901413E+22</v>
      </c>
      <c r="Q758" s="1">
        <f t="shared" si="155"/>
        <v>1.3771866212010591E+22</v>
      </c>
    </row>
    <row r="759" spans="1:17" x14ac:dyDescent="0.2">
      <c r="A759">
        <f t="shared" si="156"/>
        <v>758</v>
      </c>
      <c r="B759">
        <f t="shared" si="160"/>
        <v>176.47058823529412</v>
      </c>
      <c r="C759">
        <f t="shared" si="157"/>
        <v>758000</v>
      </c>
      <c r="E759" t="s">
        <v>13</v>
      </c>
      <c r="F759">
        <v>23.76154249</v>
      </c>
      <c r="G759">
        <v>43.429000000000002</v>
      </c>
      <c r="H759">
        <f t="shared" si="149"/>
        <v>0.54713538165741782</v>
      </c>
      <c r="I759">
        <v>334.28426459999997</v>
      </c>
      <c r="J759">
        <f t="shared" si="150"/>
        <v>610.9717554499299</v>
      </c>
      <c r="K759" s="1">
        <v>1.17E-6</v>
      </c>
      <c r="L759" s="1">
        <f t="shared" si="151"/>
        <v>87760.251427746189</v>
      </c>
      <c r="M759" s="1">
        <f t="shared" si="152"/>
        <v>768779802.50705659</v>
      </c>
      <c r="N759">
        <f t="shared" si="153"/>
        <v>14278476046.246506</v>
      </c>
      <c r="O759">
        <v>3.8245133820000001</v>
      </c>
      <c r="P759" s="1">
        <f t="shared" si="154"/>
        <v>1253082647823644.8</v>
      </c>
      <c r="Q759" s="1">
        <f t="shared" si="155"/>
        <v>327644989744644.25</v>
      </c>
    </row>
    <row r="760" spans="1:17" x14ac:dyDescent="0.2">
      <c r="A760">
        <f t="shared" si="156"/>
        <v>759</v>
      </c>
      <c r="B760">
        <f t="shared" si="160"/>
        <v>176.47058823529412</v>
      </c>
      <c r="C760">
        <f t="shared" si="157"/>
        <v>759000</v>
      </c>
      <c r="E760" t="s">
        <v>13</v>
      </c>
      <c r="F760">
        <v>24.659811439999999</v>
      </c>
      <c r="G760">
        <v>43.429000000000002</v>
      </c>
      <c r="H760">
        <f t="shared" si="149"/>
        <v>0.56781900204932179</v>
      </c>
      <c r="I760">
        <v>473.68393809999998</v>
      </c>
      <c r="J760">
        <f t="shared" si="150"/>
        <v>834.21642528767461</v>
      </c>
      <c r="K760" s="1">
        <v>1.0499999999999999E-6</v>
      </c>
      <c r="L760" s="1">
        <f t="shared" si="151"/>
        <v>105323.35023550734</v>
      </c>
      <c r="M760" s="1">
        <f t="shared" si="152"/>
        <v>922632548.06304431</v>
      </c>
      <c r="N760">
        <f t="shared" si="153"/>
        <v>69432621592722.695</v>
      </c>
      <c r="O760">
        <v>3.125</v>
      </c>
      <c r="P760" s="1">
        <f t="shared" si="154"/>
        <v>7.3128763217797816E+18</v>
      </c>
      <c r="Q760" s="1">
        <f t="shared" si="155"/>
        <v>2.3401204229695304E+18</v>
      </c>
    </row>
    <row r="761" spans="1:17" x14ac:dyDescent="0.2">
      <c r="A761">
        <f t="shared" si="156"/>
        <v>760</v>
      </c>
      <c r="B761">
        <f t="shared" si="160"/>
        <v>176.47058823529412</v>
      </c>
      <c r="C761">
        <f t="shared" si="157"/>
        <v>760000</v>
      </c>
      <c r="E761" t="s">
        <v>13</v>
      </c>
      <c r="F761">
        <v>23.639127259999999</v>
      </c>
      <c r="G761">
        <v>43.429000000000002</v>
      </c>
      <c r="H761">
        <f t="shared" si="149"/>
        <v>0.54431663773054861</v>
      </c>
      <c r="I761">
        <v>334.28426459999997</v>
      </c>
      <c r="J761">
        <f t="shared" si="150"/>
        <v>614.13567293065125</v>
      </c>
      <c r="K761" s="1">
        <v>1.19E-6</v>
      </c>
      <c r="L761" s="1">
        <f t="shared" si="151"/>
        <v>85398.5264906128</v>
      </c>
      <c r="M761" s="1">
        <f t="shared" si="152"/>
        <v>748091092.05776811</v>
      </c>
      <c r="N761">
        <f t="shared" si="153"/>
        <v>16104005031.550358</v>
      </c>
      <c r="O761">
        <v>3.5583941609999998</v>
      </c>
      <c r="P761" s="1">
        <f t="shared" si="154"/>
        <v>1375258300291815</v>
      </c>
      <c r="Q761" s="1">
        <f t="shared" si="155"/>
        <v>386482845370152.06</v>
      </c>
    </row>
    <row r="762" spans="1:17" x14ac:dyDescent="0.2">
      <c r="A762">
        <f t="shared" si="156"/>
        <v>761</v>
      </c>
      <c r="B762">
        <f t="shared" si="160"/>
        <v>176.47058823529412</v>
      </c>
      <c r="C762">
        <f t="shared" si="157"/>
        <v>761000</v>
      </c>
      <c r="E762" t="s">
        <v>13</v>
      </c>
      <c r="F762">
        <v>26.31771711</v>
      </c>
      <c r="G762">
        <v>43.429000000000002</v>
      </c>
      <c r="H762">
        <f t="shared" si="149"/>
        <v>0.60599408482811024</v>
      </c>
      <c r="I762">
        <v>446.95095679999997</v>
      </c>
      <c r="J762">
        <f t="shared" si="150"/>
        <v>737.55003223633321</v>
      </c>
      <c r="K762" s="1">
        <v>8.7300000000000005E-7</v>
      </c>
      <c r="L762" s="1">
        <f t="shared" si="151"/>
        <v>144283.49253196333</v>
      </c>
      <c r="M762" s="1">
        <f t="shared" si="152"/>
        <v>1263923394.5799987</v>
      </c>
      <c r="N762">
        <f t="shared" si="153"/>
        <v>1758408689442.6526</v>
      </c>
      <c r="O762">
        <v>2.4939172749999998</v>
      </c>
      <c r="P762" s="1">
        <f t="shared" si="154"/>
        <v>2.537093470113384E+17</v>
      </c>
      <c r="Q762" s="1">
        <f t="shared" si="155"/>
        <v>1.0173126011621152E+17</v>
      </c>
    </row>
    <row r="763" spans="1:17" x14ac:dyDescent="0.2">
      <c r="A763">
        <f t="shared" si="156"/>
        <v>762</v>
      </c>
      <c r="B763">
        <f t="shared" si="160"/>
        <v>176.47058823529412</v>
      </c>
      <c r="C763">
        <f t="shared" si="157"/>
        <v>762000</v>
      </c>
      <c r="E763" t="s">
        <v>13</v>
      </c>
      <c r="F763">
        <v>23.677856800000001</v>
      </c>
      <c r="G763">
        <v>43.429000000000002</v>
      </c>
      <c r="H763">
        <f t="shared" si="149"/>
        <v>0.54520842754841237</v>
      </c>
      <c r="I763">
        <v>532.04238750000002</v>
      </c>
      <c r="J763">
        <f t="shared" si="150"/>
        <v>975.85136365625374</v>
      </c>
      <c r="K763" s="1">
        <v>1.1799999999999999E-6</v>
      </c>
      <c r="L763" s="1">
        <f t="shared" si="151"/>
        <v>86404.673481479374</v>
      </c>
      <c r="M763" s="1">
        <f t="shared" si="152"/>
        <v>756904939.69775927</v>
      </c>
      <c r="N763">
        <f t="shared" si="153"/>
        <v>1.5158702246553636E+16</v>
      </c>
      <c r="O763">
        <v>3.7674878349999998</v>
      </c>
      <c r="P763" s="1">
        <f t="shared" si="154"/>
        <v>1.3097827180164347E+21</v>
      </c>
      <c r="Q763" s="1">
        <f t="shared" si="155"/>
        <v>3.4765413330563144E+20</v>
      </c>
    </row>
    <row r="764" spans="1:17" x14ac:dyDescent="0.2">
      <c r="A764">
        <f t="shared" si="156"/>
        <v>763</v>
      </c>
      <c r="B764">
        <f t="shared" si="160"/>
        <v>176.47058823529412</v>
      </c>
      <c r="C764">
        <f t="shared" si="157"/>
        <v>763000</v>
      </c>
      <c r="E764" t="s">
        <v>13</v>
      </c>
      <c r="F764">
        <v>23.299148129999999</v>
      </c>
      <c r="G764">
        <v>43.429000000000002</v>
      </c>
      <c r="H764">
        <f t="shared" si="149"/>
        <v>0.53648824817518248</v>
      </c>
      <c r="I764">
        <v>297.6174279</v>
      </c>
      <c r="J764">
        <f t="shared" si="150"/>
        <v>554.75106661202642</v>
      </c>
      <c r="K764" s="1">
        <v>1.2300000000000001E-6</v>
      </c>
      <c r="L764" s="1">
        <f t="shared" si="151"/>
        <v>80261.89972968791</v>
      </c>
      <c r="M764" s="1">
        <f t="shared" si="152"/>
        <v>703094241.63206613</v>
      </c>
      <c r="N764">
        <f t="shared" si="153"/>
        <v>1683442133.5066068</v>
      </c>
      <c r="O764">
        <v>3.9537712900000002</v>
      </c>
      <c r="P764" s="1">
        <f t="shared" si="154"/>
        <v>135116263720239.16</v>
      </c>
      <c r="Q764" s="1">
        <f t="shared" si="155"/>
        <v>34174021158477.062</v>
      </c>
    </row>
    <row r="765" spans="1:17" x14ac:dyDescent="0.2">
      <c r="A765">
        <f t="shared" si="156"/>
        <v>764</v>
      </c>
      <c r="B765">
        <f t="shared" si="160"/>
        <v>176.47058823529412</v>
      </c>
      <c r="C765">
        <f t="shared" si="157"/>
        <v>764000</v>
      </c>
      <c r="E765" t="s">
        <v>13</v>
      </c>
      <c r="F765">
        <v>25.257776679999999</v>
      </c>
      <c r="G765">
        <v>43.429000000000002</v>
      </c>
      <c r="H765">
        <f t="shared" si="149"/>
        <v>0.5815878026203688</v>
      </c>
      <c r="I765">
        <v>532.04238750000002</v>
      </c>
      <c r="J765">
        <f t="shared" si="150"/>
        <v>914.81008560162411</v>
      </c>
      <c r="K765" s="1">
        <v>9.8299999999999995E-7</v>
      </c>
      <c r="L765" s="1">
        <f t="shared" si="151"/>
        <v>118024.23158675348</v>
      </c>
      <c r="M765" s="1">
        <f t="shared" si="152"/>
        <v>1033892268.6999605</v>
      </c>
      <c r="N765">
        <f t="shared" si="153"/>
        <v>1487874886729531</v>
      </c>
      <c r="O765">
        <v>2.6117700730000002</v>
      </c>
      <c r="P765" s="1">
        <f t="shared" si="154"/>
        <v>1.7560529020348075E+20</v>
      </c>
      <c r="Q765" s="1">
        <f t="shared" si="155"/>
        <v>6.723612159387843E+19</v>
      </c>
    </row>
    <row r="766" spans="1:17" x14ac:dyDescent="0.2">
      <c r="A766">
        <f t="shared" si="156"/>
        <v>765</v>
      </c>
      <c r="B766">
        <f t="shared" si="160"/>
        <v>176.47058823529412</v>
      </c>
      <c r="C766">
        <f t="shared" si="157"/>
        <v>765000</v>
      </c>
      <c r="E766" t="s">
        <v>13</v>
      </c>
      <c r="F766">
        <v>27.146884629999999</v>
      </c>
      <c r="G766">
        <v>43.429000000000002</v>
      </c>
      <c r="H766">
        <f t="shared" si="149"/>
        <v>0.62508656957332653</v>
      </c>
      <c r="I766">
        <v>421.72668670000002</v>
      </c>
      <c r="J766">
        <f t="shared" si="150"/>
        <v>674.66924939350963</v>
      </c>
      <c r="K766" s="1">
        <v>7.9599999999999998E-7</v>
      </c>
      <c r="L766" s="1">
        <f t="shared" si="151"/>
        <v>168368.71140088644</v>
      </c>
      <c r="M766" s="1">
        <f t="shared" si="152"/>
        <v>1474909911.8717651</v>
      </c>
      <c r="N766">
        <f t="shared" si="153"/>
        <v>160932895002.66776</v>
      </c>
      <c r="O766">
        <v>1.6233272510000001</v>
      </c>
      <c r="P766" s="1">
        <f t="shared" si="154"/>
        <v>2.7096064153613328E+16</v>
      </c>
      <c r="Q766" s="1">
        <f t="shared" si="155"/>
        <v>1.669168316919564E+16</v>
      </c>
    </row>
    <row r="767" spans="1:17" x14ac:dyDescent="0.2">
      <c r="A767">
        <f t="shared" si="156"/>
        <v>766</v>
      </c>
      <c r="B767">
        <f t="shared" si="160"/>
        <v>176.47058823529412</v>
      </c>
      <c r="C767">
        <f t="shared" si="157"/>
        <v>766000</v>
      </c>
      <c r="E767" t="s">
        <v>13</v>
      </c>
      <c r="F767">
        <v>25.689255939999999</v>
      </c>
      <c r="G767">
        <v>43.429000000000002</v>
      </c>
      <c r="H767">
        <f t="shared" si="149"/>
        <v>0.5915230822722144</v>
      </c>
      <c r="I767">
        <v>563.86484810000002</v>
      </c>
      <c r="J767">
        <f t="shared" si="150"/>
        <v>953.24234167503494</v>
      </c>
      <c r="K767" s="1">
        <v>9.3699999999999999E-7</v>
      </c>
      <c r="L767" s="1">
        <f t="shared" si="151"/>
        <v>128084.89648160255</v>
      </c>
      <c r="M767" s="1">
        <f t="shared" si="152"/>
        <v>1122023693.1788385</v>
      </c>
      <c r="N767">
        <f t="shared" si="153"/>
        <v>6416148856938224</v>
      </c>
      <c r="O767">
        <v>1.494069343</v>
      </c>
      <c r="P767" s="1">
        <f t="shared" si="154"/>
        <v>8.2181176215148495E+20</v>
      </c>
      <c r="Q767" s="1">
        <f t="shared" si="155"/>
        <v>5.5004927716496553E+20</v>
      </c>
    </row>
    <row r="768" spans="1:17" x14ac:dyDescent="0.2">
      <c r="A768">
        <f t="shared" si="156"/>
        <v>767</v>
      </c>
      <c r="B768">
        <f t="shared" si="160"/>
        <v>176.47058823529412</v>
      </c>
      <c r="C768">
        <f t="shared" si="157"/>
        <v>767000</v>
      </c>
      <c r="E768" t="s">
        <v>13</v>
      </c>
      <c r="F768">
        <v>26.874852359999998</v>
      </c>
      <c r="G768">
        <v>43.429000000000002</v>
      </c>
      <c r="H768">
        <f t="shared" si="149"/>
        <v>0.61882273043358116</v>
      </c>
      <c r="I768">
        <v>354.27843819999998</v>
      </c>
      <c r="J768">
        <f t="shared" si="150"/>
        <v>572.50391877456264</v>
      </c>
      <c r="K768" s="1">
        <v>8.2099999999999995E-7</v>
      </c>
      <c r="L768" s="1">
        <f t="shared" si="151"/>
        <v>159986.55188006887</v>
      </c>
      <c r="M768" s="1">
        <f t="shared" si="152"/>
        <v>1401482194.4694033</v>
      </c>
      <c r="N768">
        <f t="shared" si="153"/>
        <v>3306634758.7694497</v>
      </c>
      <c r="O768">
        <v>1.8742396589999999</v>
      </c>
      <c r="P768" s="1">
        <f t="shared" si="154"/>
        <v>529017093382307.56</v>
      </c>
      <c r="Q768" s="1">
        <f t="shared" si="155"/>
        <v>282256909270911.75</v>
      </c>
    </row>
    <row r="769" spans="1:17" x14ac:dyDescent="0.2">
      <c r="A769">
        <f t="shared" si="156"/>
        <v>768</v>
      </c>
      <c r="B769">
        <f t="shared" si="160"/>
        <v>176.47058823529412</v>
      </c>
      <c r="C769">
        <f t="shared" si="157"/>
        <v>768000</v>
      </c>
      <c r="E769" t="s">
        <v>13</v>
      </c>
      <c r="F769">
        <v>26.456509319999999</v>
      </c>
      <c r="G769">
        <v>43.429000000000002</v>
      </c>
      <c r="H769">
        <f t="shared" si="149"/>
        <v>0.60918992654677739</v>
      </c>
      <c r="I769">
        <v>250.01841450000001</v>
      </c>
      <c r="J769">
        <f t="shared" si="150"/>
        <v>410.41127504724432</v>
      </c>
      <c r="K769" s="1">
        <v>8.6000000000000002E-7</v>
      </c>
      <c r="L769" s="1">
        <f t="shared" si="151"/>
        <v>148013.42063474577</v>
      </c>
      <c r="M769" s="1">
        <f t="shared" si="152"/>
        <v>1296597564.7603729</v>
      </c>
      <c r="N769">
        <f t="shared" si="153"/>
        <v>6957114.1894258</v>
      </c>
      <c r="O769">
        <v>2.1517639900000001</v>
      </c>
      <c r="P769" s="1">
        <f t="shared" si="154"/>
        <v>1029746268923.4392</v>
      </c>
      <c r="Q769" s="1">
        <f t="shared" si="155"/>
        <v>478559114154.26147</v>
      </c>
    </row>
    <row r="770" spans="1:17" x14ac:dyDescent="0.2">
      <c r="A770">
        <f t="shared" si="156"/>
        <v>769</v>
      </c>
      <c r="B770">
        <f t="shared" si="160"/>
        <v>176.47058823529412</v>
      </c>
      <c r="C770">
        <f t="shared" si="157"/>
        <v>769000</v>
      </c>
      <c r="E770" t="s">
        <v>13</v>
      </c>
      <c r="F770">
        <v>28.4731393</v>
      </c>
      <c r="G770">
        <v>43.429000000000002</v>
      </c>
      <c r="H770">
        <f t="shared" si="149"/>
        <v>0.65562502705565406</v>
      </c>
      <c r="I770">
        <v>334.28426459999997</v>
      </c>
      <c r="J770">
        <f t="shared" si="150"/>
        <v>509.8711165759442</v>
      </c>
      <c r="K770" s="1">
        <v>6.8800000000000002E-7</v>
      </c>
      <c r="L770" s="1">
        <f t="shared" si="151"/>
        <v>214297.31453908779</v>
      </c>
      <c r="M770" s="1">
        <f t="shared" si="152"/>
        <v>1877244475.3624091</v>
      </c>
      <c r="N770">
        <f t="shared" si="153"/>
        <v>305496771.62901628</v>
      </c>
      <c r="O770">
        <v>1.437043796</v>
      </c>
      <c r="P770" s="1">
        <f t="shared" si="154"/>
        <v>65467137760459.172</v>
      </c>
      <c r="Q770" s="1">
        <f t="shared" si="155"/>
        <v>45556814581912.141</v>
      </c>
    </row>
    <row r="771" spans="1:17" x14ac:dyDescent="0.2">
      <c r="A771">
        <f t="shared" si="156"/>
        <v>770</v>
      </c>
      <c r="B771">
        <f t="shared" si="160"/>
        <v>176.47058823529412</v>
      </c>
      <c r="C771">
        <f t="shared" si="157"/>
        <v>770000</v>
      </c>
      <c r="E771" t="s">
        <v>14</v>
      </c>
      <c r="F771">
        <v>33.308806130000001</v>
      </c>
      <c r="G771">
        <v>43.429000000000002</v>
      </c>
      <c r="H771">
        <f t="shared" ref="H771:H834" si="161">F771/43.429</f>
        <v>0.76697151972184485</v>
      </c>
      <c r="I771">
        <v>563.86484810000002</v>
      </c>
      <c r="J771">
        <f t="shared" ref="J771:J834" si="162">I771/H771</f>
        <v>735.18355453993274</v>
      </c>
      <c r="K771" s="1">
        <v>1.15E-6</v>
      </c>
      <c r="L771" s="1">
        <f t="shared" ref="L771:L834" si="163">((H771^2)*0.343)/(K771)</f>
        <v>175450.55829400144</v>
      </c>
      <c r="M771" s="1">
        <f t="shared" ref="M771:M834" si="164">L771*8760</f>
        <v>1536946890.6554527</v>
      </c>
      <c r="N771">
        <f t="shared" ref="N771:N834" si="165">EXP((J771+3.9052)/(26.297))</f>
        <v>1607079956606.9102</v>
      </c>
      <c r="O771">
        <v>2.6041666669999999</v>
      </c>
      <c r="P771" s="1">
        <f t="shared" ref="P771:P834" si="166">L771*N771</f>
        <v>2.8196307560978198E+17</v>
      </c>
      <c r="Q771" s="1">
        <f t="shared" ref="Q771:Q834" si="167">P771/O771</f>
        <v>1.0827382102029723E+17</v>
      </c>
    </row>
    <row r="772" spans="1:17" x14ac:dyDescent="0.2">
      <c r="A772">
        <f t="shared" ref="A772:A835" si="168">A771+1</f>
        <v>771</v>
      </c>
      <c r="B772">
        <f t="shared" si="160"/>
        <v>176.47058823529412</v>
      </c>
      <c r="C772">
        <f t="shared" ref="C772:C835" si="169">C771+1000</f>
        <v>771000</v>
      </c>
      <c r="E772" t="s">
        <v>14</v>
      </c>
      <c r="F772">
        <v>33.815748890000002</v>
      </c>
      <c r="G772">
        <v>43.429000000000002</v>
      </c>
      <c r="H772">
        <f t="shared" si="161"/>
        <v>0.7786444286076124</v>
      </c>
      <c r="I772">
        <v>1068.2961989999999</v>
      </c>
      <c r="J772">
        <f t="shared" si="162"/>
        <v>1371.9949180274091</v>
      </c>
      <c r="K772" s="1">
        <v>1.1000000000000001E-6</v>
      </c>
      <c r="L772" s="1">
        <f t="shared" si="163"/>
        <v>189051.35558834055</v>
      </c>
      <c r="M772" s="1">
        <f t="shared" si="164"/>
        <v>1656089874.9538631</v>
      </c>
      <c r="N772">
        <f t="shared" si="165"/>
        <v>5.2840351272919061E+22</v>
      </c>
      <c r="O772">
        <v>2.0339111920000001</v>
      </c>
      <c r="P772" s="1">
        <f t="shared" si="166"/>
        <v>9.989540037909444E+27</v>
      </c>
      <c r="Q772" s="1">
        <f t="shared" si="167"/>
        <v>4.9114927324267572E+27</v>
      </c>
    </row>
    <row r="773" spans="1:17" x14ac:dyDescent="0.2">
      <c r="A773">
        <f t="shared" si="168"/>
        <v>772</v>
      </c>
      <c r="B773">
        <f t="shared" si="160"/>
        <v>176.47058823529412</v>
      </c>
      <c r="C773">
        <f t="shared" si="169"/>
        <v>772000</v>
      </c>
      <c r="E773" t="s">
        <v>14</v>
      </c>
      <c r="F773">
        <v>34.31268223</v>
      </c>
      <c r="G773">
        <v>43.429000000000002</v>
      </c>
      <c r="H773">
        <f t="shared" si="161"/>
        <v>0.7900868597020424</v>
      </c>
      <c r="I773">
        <v>1513.7857329999999</v>
      </c>
      <c r="J773">
        <f t="shared" si="162"/>
        <v>1915.9738127664582</v>
      </c>
      <c r="K773" s="1">
        <v>1.06E-6</v>
      </c>
      <c r="L773" s="1">
        <f t="shared" si="163"/>
        <v>201993.75031577863</v>
      </c>
      <c r="M773" s="1">
        <f t="shared" si="164"/>
        <v>1769465252.7662208</v>
      </c>
      <c r="N773">
        <f t="shared" si="165"/>
        <v>5.0905810468314238E+31</v>
      </c>
      <c r="O773">
        <v>1.840024331</v>
      </c>
      <c r="P773" s="1">
        <f t="shared" si="166"/>
        <v>1.0282655569359016E+37</v>
      </c>
      <c r="Q773" s="1">
        <f t="shared" si="167"/>
        <v>5.5883258694577648E+36</v>
      </c>
    </row>
    <row r="774" spans="1:17" x14ac:dyDescent="0.2">
      <c r="A774">
        <f t="shared" si="168"/>
        <v>773</v>
      </c>
      <c r="B774">
        <f t="shared" si="160"/>
        <v>176.47058823529412</v>
      </c>
      <c r="C774">
        <f t="shared" si="169"/>
        <v>773000</v>
      </c>
      <c r="E774" t="s">
        <v>14</v>
      </c>
      <c r="F774">
        <v>34.217651689999997</v>
      </c>
      <c r="G774">
        <v>43.429000000000002</v>
      </c>
      <c r="H774">
        <f t="shared" si="161"/>
        <v>0.78789867807225578</v>
      </c>
      <c r="I774">
        <v>1132.1930130000001</v>
      </c>
      <c r="J774">
        <f t="shared" si="162"/>
        <v>1436.9779319469426</v>
      </c>
      <c r="K774" s="1">
        <v>1.06E-6</v>
      </c>
      <c r="L774" s="1">
        <f t="shared" si="163"/>
        <v>200876.43785796867</v>
      </c>
      <c r="M774" s="1">
        <f t="shared" si="164"/>
        <v>1759677595.6358056</v>
      </c>
      <c r="N774">
        <f t="shared" si="165"/>
        <v>6.2540161998240833E+23</v>
      </c>
      <c r="O774">
        <v>1.8324209250000001</v>
      </c>
      <c r="P774" s="1">
        <f t="shared" si="166"/>
        <v>1.2562844965266919E+29</v>
      </c>
      <c r="Q774" s="1">
        <f t="shared" si="167"/>
        <v>6.8558729022737603E+28</v>
      </c>
    </row>
    <row r="775" spans="1:17" x14ac:dyDescent="0.2">
      <c r="A775">
        <f t="shared" si="168"/>
        <v>774</v>
      </c>
      <c r="B775">
        <f t="shared" si="160"/>
        <v>176.47058823529412</v>
      </c>
      <c r="C775">
        <f t="shared" si="169"/>
        <v>774000</v>
      </c>
      <c r="E775" t="s">
        <v>14</v>
      </c>
      <c r="F775">
        <v>33.858953280000001</v>
      </c>
      <c r="G775">
        <v>43.429000000000002</v>
      </c>
      <c r="H775">
        <f t="shared" si="161"/>
        <v>0.77963925671786138</v>
      </c>
      <c r="I775">
        <v>280.82099360000001</v>
      </c>
      <c r="J775">
        <f t="shared" si="162"/>
        <v>360.19350126391146</v>
      </c>
      <c r="K775" s="1">
        <v>1.1000000000000001E-6</v>
      </c>
      <c r="L775" s="1">
        <f t="shared" si="163"/>
        <v>189534.74374649432</v>
      </c>
      <c r="M775" s="1">
        <f t="shared" si="164"/>
        <v>1660324355.2192903</v>
      </c>
      <c r="N775">
        <f t="shared" si="165"/>
        <v>1030584.2500429786</v>
      </c>
      <c r="O775">
        <v>1.6043187350000001</v>
      </c>
      <c r="P775" s="1">
        <f t="shared" si="166"/>
        <v>195331521741.06897</v>
      </c>
      <c r="Q775" s="1">
        <f t="shared" si="167"/>
        <v>121753562730.20708</v>
      </c>
    </row>
    <row r="776" spans="1:17" x14ac:dyDescent="0.2">
      <c r="A776">
        <f t="shared" si="168"/>
        <v>775</v>
      </c>
      <c r="B776">
        <f t="shared" si="160"/>
        <v>176.47058823529412</v>
      </c>
      <c r="C776">
        <f t="shared" si="169"/>
        <v>775000</v>
      </c>
      <c r="E776" t="s">
        <v>14</v>
      </c>
      <c r="F776">
        <v>32.902523070000001</v>
      </c>
      <c r="G776">
        <v>43.429000000000002</v>
      </c>
      <c r="H776">
        <f t="shared" si="161"/>
        <v>0.75761641000253288</v>
      </c>
      <c r="I776">
        <v>897.43978930000003</v>
      </c>
      <c r="J776">
        <f t="shared" si="162"/>
        <v>1184.556957124252</v>
      </c>
      <c r="K776" s="1">
        <v>1.19E-6</v>
      </c>
      <c r="L776" s="1">
        <f t="shared" si="163"/>
        <v>165442.05065030101</v>
      </c>
      <c r="M776" s="1">
        <f t="shared" si="164"/>
        <v>1449272363.6966369</v>
      </c>
      <c r="N776">
        <f t="shared" si="165"/>
        <v>4.2406374448729489E+19</v>
      </c>
      <c r="O776">
        <v>1.4408454989999999</v>
      </c>
      <c r="P776" s="1">
        <f t="shared" si="166"/>
        <v>7.0157975494423346E+24</v>
      </c>
      <c r="Q776" s="1">
        <f t="shared" si="167"/>
        <v>4.8692226573297117E+24</v>
      </c>
    </row>
    <row r="777" spans="1:17" x14ac:dyDescent="0.2">
      <c r="A777">
        <f t="shared" si="168"/>
        <v>776</v>
      </c>
      <c r="B777">
        <f t="shared" si="160"/>
        <v>176.47058823529412</v>
      </c>
      <c r="C777">
        <f t="shared" si="169"/>
        <v>776000</v>
      </c>
      <c r="E777" t="s">
        <v>14</v>
      </c>
      <c r="F777">
        <v>31.82437895</v>
      </c>
      <c r="G777">
        <v>43.429000000000002</v>
      </c>
      <c r="H777">
        <f t="shared" si="161"/>
        <v>0.73279096801676291</v>
      </c>
      <c r="I777">
        <v>250.01841450000001</v>
      </c>
      <c r="J777">
        <f t="shared" si="162"/>
        <v>341.18653942563429</v>
      </c>
      <c r="K777" s="1">
        <v>1.3200000000000001E-6</v>
      </c>
      <c r="L777" s="1">
        <f t="shared" si="163"/>
        <v>139534.11572938025</v>
      </c>
      <c r="M777" s="1">
        <f t="shared" si="164"/>
        <v>1222318853.789371</v>
      </c>
      <c r="N777">
        <f t="shared" si="165"/>
        <v>500246.28054583416</v>
      </c>
      <c r="O777">
        <v>4.5430352799999998</v>
      </c>
      <c r="P777" s="1">
        <f t="shared" si="166"/>
        <v>69801422402.874451</v>
      </c>
      <c r="Q777" s="1">
        <f t="shared" si="167"/>
        <v>15364490500.473167</v>
      </c>
    </row>
    <row r="778" spans="1:17" x14ac:dyDescent="0.2">
      <c r="A778">
        <f t="shared" si="168"/>
        <v>777</v>
      </c>
      <c r="B778">
        <f t="shared" si="160"/>
        <v>176.47058823529412</v>
      </c>
      <c r="C778">
        <f t="shared" si="169"/>
        <v>777000</v>
      </c>
      <c r="E778" t="s">
        <v>14</v>
      </c>
      <c r="F778">
        <v>31.62681109</v>
      </c>
      <c r="G778">
        <v>43.429000000000002</v>
      </c>
      <c r="H778">
        <f t="shared" si="161"/>
        <v>0.72824175297612193</v>
      </c>
      <c r="I778">
        <v>334.28426459999997</v>
      </c>
      <c r="J778">
        <f t="shared" si="162"/>
        <v>459.02924850693188</v>
      </c>
      <c r="K778" s="1">
        <v>1.3400000000000001E-6</v>
      </c>
      <c r="L778" s="1">
        <f t="shared" si="163"/>
        <v>135750.19807221126</v>
      </c>
      <c r="M778" s="1">
        <f t="shared" si="164"/>
        <v>1189171735.1125708</v>
      </c>
      <c r="N778">
        <f t="shared" si="165"/>
        <v>44193061.505378522</v>
      </c>
      <c r="O778">
        <v>4.7939476890000003</v>
      </c>
      <c r="P778" s="1">
        <f t="shared" si="166"/>
        <v>5999216852772.5488</v>
      </c>
      <c r="Q778" s="1">
        <f t="shared" si="167"/>
        <v>1251414750840.5464</v>
      </c>
    </row>
    <row r="779" spans="1:17" x14ac:dyDescent="0.2">
      <c r="A779">
        <f t="shared" si="168"/>
        <v>778</v>
      </c>
      <c r="B779">
        <f t="shared" si="160"/>
        <v>176.47058823529412</v>
      </c>
      <c r="C779">
        <f t="shared" si="169"/>
        <v>778000</v>
      </c>
      <c r="E779" t="s">
        <v>14</v>
      </c>
      <c r="F779">
        <v>32.353590079999996</v>
      </c>
      <c r="G779">
        <v>43.429000000000002</v>
      </c>
      <c r="H779">
        <f t="shared" si="161"/>
        <v>0.7449766303622003</v>
      </c>
      <c r="I779">
        <v>421.72668670000002</v>
      </c>
      <c r="J779">
        <f t="shared" si="162"/>
        <v>566.09384712505766</v>
      </c>
      <c r="K779" s="1">
        <v>1.2500000000000001E-6</v>
      </c>
      <c r="L779" s="1">
        <f t="shared" si="163"/>
        <v>152289.30533322858</v>
      </c>
      <c r="M779" s="1">
        <f t="shared" si="164"/>
        <v>1334054314.7190824</v>
      </c>
      <c r="N779">
        <f t="shared" si="165"/>
        <v>2591337671.858902</v>
      </c>
      <c r="O779">
        <v>3.5469890510000002</v>
      </c>
      <c r="P779" s="1">
        <f t="shared" si="166"/>
        <v>394633013931218</v>
      </c>
      <c r="Q779" s="1">
        <f t="shared" si="167"/>
        <v>111258593769822.72</v>
      </c>
    </row>
    <row r="780" spans="1:17" x14ac:dyDescent="0.2">
      <c r="A780">
        <f t="shared" si="168"/>
        <v>779</v>
      </c>
      <c r="B780">
        <f t="shared" si="160"/>
        <v>176.47058823529412</v>
      </c>
      <c r="C780">
        <f t="shared" si="169"/>
        <v>779000</v>
      </c>
      <c r="E780" t="s">
        <v>14</v>
      </c>
      <c r="F780">
        <v>31.93952123</v>
      </c>
      <c r="G780">
        <v>43.429000000000002</v>
      </c>
      <c r="H780">
        <f t="shared" si="161"/>
        <v>0.73544224435285177</v>
      </c>
      <c r="I780">
        <v>2868.012698</v>
      </c>
      <c r="J780">
        <f t="shared" si="162"/>
        <v>3899.7116633185674</v>
      </c>
      <c r="K780" s="1">
        <v>1.3E-6</v>
      </c>
      <c r="L780" s="1">
        <f t="shared" si="163"/>
        <v>142707.86623778046</v>
      </c>
      <c r="M780" s="1">
        <f t="shared" si="164"/>
        <v>1250120908.2429569</v>
      </c>
      <c r="N780">
        <f t="shared" si="165"/>
        <v>2.9387474791900714E+64</v>
      </c>
      <c r="O780">
        <v>3.372110706</v>
      </c>
      <c r="P780" s="1">
        <f t="shared" si="166"/>
        <v>4.1938238216687122E+69</v>
      </c>
      <c r="Q780" s="1">
        <f t="shared" si="167"/>
        <v>1.2436791633817471E+69</v>
      </c>
    </row>
    <row r="781" spans="1:17" x14ac:dyDescent="0.2">
      <c r="A781">
        <f t="shared" si="168"/>
        <v>780</v>
      </c>
      <c r="B781">
        <f t="shared" si="160"/>
        <v>176.47058823529412</v>
      </c>
      <c r="C781">
        <f t="shared" si="169"/>
        <v>780000</v>
      </c>
      <c r="E781" t="s">
        <v>14</v>
      </c>
      <c r="F781">
        <v>31.226211920000001</v>
      </c>
      <c r="G781">
        <v>43.429000000000002</v>
      </c>
      <c r="H781">
        <f t="shared" si="161"/>
        <v>0.71901752101130578</v>
      </c>
      <c r="I781">
        <v>421.72668670000002</v>
      </c>
      <c r="J781">
        <f t="shared" si="162"/>
        <v>586.53186379496981</v>
      </c>
      <c r="K781" s="1">
        <v>1.39E-6</v>
      </c>
      <c r="L781" s="1">
        <f t="shared" si="163"/>
        <v>127572.85256387523</v>
      </c>
      <c r="M781" s="1">
        <f t="shared" si="164"/>
        <v>1117538188.459547</v>
      </c>
      <c r="N781">
        <f t="shared" si="165"/>
        <v>5637122678.4851437</v>
      </c>
      <c r="O781">
        <v>3.5089720190000002</v>
      </c>
      <c r="P781" s="1">
        <f t="shared" si="166"/>
        <v>719143820346862.62</v>
      </c>
      <c r="Q781" s="1">
        <f t="shared" si="167"/>
        <v>204944301764995.81</v>
      </c>
    </row>
    <row r="782" spans="1:17" x14ac:dyDescent="0.2">
      <c r="A782">
        <f t="shared" si="168"/>
        <v>781</v>
      </c>
      <c r="B782">
        <f t="shared" si="160"/>
        <v>176.47058823529412</v>
      </c>
      <c r="C782">
        <f t="shared" si="169"/>
        <v>781000</v>
      </c>
      <c r="E782" t="s">
        <v>14</v>
      </c>
      <c r="F782">
        <v>30.686274690000001</v>
      </c>
      <c r="G782">
        <v>43.429000000000002</v>
      </c>
      <c r="H782">
        <f t="shared" si="161"/>
        <v>0.70658487853738283</v>
      </c>
      <c r="I782">
        <v>3834.6436100000001</v>
      </c>
      <c r="J782">
        <f t="shared" si="162"/>
        <v>5427.0105778907109</v>
      </c>
      <c r="K782" s="1">
        <v>1.46E-6</v>
      </c>
      <c r="L782" s="1">
        <f t="shared" si="163"/>
        <v>117292.41874530616</v>
      </c>
      <c r="M782" s="1">
        <f t="shared" si="164"/>
        <v>1027481588.208882</v>
      </c>
      <c r="N782">
        <f t="shared" si="165"/>
        <v>4.9144663626153334E+89</v>
      </c>
      <c r="O782">
        <v>4.2388990270000004</v>
      </c>
      <c r="P782" s="1">
        <f t="shared" si="166"/>
        <v>5.764296465135993E+94</v>
      </c>
      <c r="Q782" s="1">
        <f t="shared" si="167"/>
        <v>1.3598569884349341E+94</v>
      </c>
    </row>
    <row r="783" spans="1:17" x14ac:dyDescent="0.2">
      <c r="A783">
        <f t="shared" si="168"/>
        <v>782</v>
      </c>
      <c r="B783">
        <f t="shared" si="160"/>
        <v>176.47058823529412</v>
      </c>
      <c r="C783">
        <f t="shared" si="169"/>
        <v>782000</v>
      </c>
      <c r="E783" t="s">
        <v>14</v>
      </c>
      <c r="F783">
        <v>30.922582139999999</v>
      </c>
      <c r="G783">
        <v>43.429000000000002</v>
      </c>
      <c r="H783">
        <f t="shared" si="161"/>
        <v>0.71202611480807754</v>
      </c>
      <c r="I783">
        <v>473.68393809999998</v>
      </c>
      <c r="J783">
        <f t="shared" si="162"/>
        <v>665.26202936767106</v>
      </c>
      <c r="K783" s="1">
        <v>1.4300000000000001E-6</v>
      </c>
      <c r="L783" s="1">
        <f t="shared" si="163"/>
        <v>121604.57870060082</v>
      </c>
      <c r="M783" s="1">
        <f t="shared" si="164"/>
        <v>1065256109.4172632</v>
      </c>
      <c r="N783">
        <f t="shared" si="165"/>
        <v>112534258673.36296</v>
      </c>
      <c r="O783">
        <v>6.2461982970000003</v>
      </c>
      <c r="P783" s="1">
        <f t="shared" si="166"/>
        <v>1.3684681115358736E+16</v>
      </c>
      <c r="Q783" s="1">
        <f t="shared" si="167"/>
        <v>2190881631460752.8</v>
      </c>
    </row>
    <row r="784" spans="1:17" x14ac:dyDescent="0.2">
      <c r="A784">
        <f t="shared" si="168"/>
        <v>783</v>
      </c>
      <c r="B784">
        <f t="shared" si="160"/>
        <v>176.47058823529412</v>
      </c>
      <c r="C784">
        <f t="shared" si="169"/>
        <v>783000</v>
      </c>
      <c r="E784" t="s">
        <v>14</v>
      </c>
      <c r="F784">
        <v>30.96202156</v>
      </c>
      <c r="G784">
        <v>43.429000000000002</v>
      </c>
      <c r="H784">
        <f t="shared" si="161"/>
        <v>0.71293425038568692</v>
      </c>
      <c r="I784">
        <v>4307.0764639999998</v>
      </c>
      <c r="J784">
        <f t="shared" si="162"/>
        <v>6041.337559066541</v>
      </c>
      <c r="K784" s="1">
        <v>1.42E-6</v>
      </c>
      <c r="L784" s="1">
        <f t="shared" si="163"/>
        <v>122773.52757953484</v>
      </c>
      <c r="M784" s="1">
        <f t="shared" si="164"/>
        <v>1075496101.5967252</v>
      </c>
      <c r="N784">
        <f t="shared" si="165"/>
        <v>6.8718774980248089E+99</v>
      </c>
      <c r="O784">
        <v>5.8964416059999998</v>
      </c>
      <c r="P784" s="1">
        <f t="shared" si="166"/>
        <v>8.4368464152693379E+104</v>
      </c>
      <c r="Q784" s="1">
        <f t="shared" si="167"/>
        <v>1.4308369316647376E+104</v>
      </c>
    </row>
    <row r="785" spans="1:17" x14ac:dyDescent="0.2">
      <c r="A785">
        <f t="shared" si="168"/>
        <v>784</v>
      </c>
      <c r="B785">
        <f t="shared" si="160"/>
        <v>176.47058823529412</v>
      </c>
      <c r="C785">
        <f t="shared" si="169"/>
        <v>784000</v>
      </c>
      <c r="E785" t="s">
        <v>14</v>
      </c>
      <c r="F785">
        <v>30.986413349999999</v>
      </c>
      <c r="G785">
        <v>43.429000000000002</v>
      </c>
      <c r="H785">
        <f t="shared" si="161"/>
        <v>0.71349589790232326</v>
      </c>
      <c r="I785">
        <v>597.59067030000006</v>
      </c>
      <c r="J785">
        <f t="shared" si="162"/>
        <v>837.55305679670425</v>
      </c>
      <c r="K785" s="1">
        <v>1.42E-6</v>
      </c>
      <c r="L785" s="1">
        <f t="shared" si="163"/>
        <v>122967.04502742308</v>
      </c>
      <c r="M785" s="1">
        <f t="shared" si="164"/>
        <v>1077191314.4402263</v>
      </c>
      <c r="N785">
        <f t="shared" si="165"/>
        <v>78825724793194.047</v>
      </c>
      <c r="O785">
        <v>6.4438868610000002</v>
      </c>
      <c r="P785" s="1">
        <f t="shared" si="166"/>
        <v>9.6929664499639521E+18</v>
      </c>
      <c r="Q785" s="1">
        <f t="shared" si="167"/>
        <v>1.5042111475650181E+18</v>
      </c>
    </row>
    <row r="786" spans="1:17" x14ac:dyDescent="0.2">
      <c r="A786">
        <f t="shared" si="168"/>
        <v>785</v>
      </c>
      <c r="B786">
        <f t="shared" si="160"/>
        <v>176.47058823529412</v>
      </c>
      <c r="C786">
        <f t="shared" si="169"/>
        <v>785000</v>
      </c>
      <c r="E786" t="s">
        <v>14</v>
      </c>
      <c r="F786">
        <v>30.569687630000001</v>
      </c>
      <c r="G786">
        <v>43.429000000000002</v>
      </c>
      <c r="H786">
        <f t="shared" si="161"/>
        <v>0.70390033456906675</v>
      </c>
      <c r="I786">
        <v>3039.5539570000001</v>
      </c>
      <c r="J786">
        <f t="shared" si="162"/>
        <v>4318.1595571492926</v>
      </c>
      <c r="K786" s="1">
        <v>1.4699999999999999E-6</v>
      </c>
      <c r="L786" s="1">
        <f t="shared" si="163"/>
        <v>115610.99223483697</v>
      </c>
      <c r="M786" s="1">
        <f t="shared" si="164"/>
        <v>1012752291.9771719</v>
      </c>
      <c r="N786">
        <f t="shared" si="165"/>
        <v>2.392333424820859E+71</v>
      </c>
      <c r="O786">
        <v>6.6567822379999999</v>
      </c>
      <c r="P786" s="1">
        <f t="shared" si="166"/>
        <v>2.7658004100010526E+76</v>
      </c>
      <c r="Q786" s="1">
        <f t="shared" si="167"/>
        <v>4.154860878898188E+75</v>
      </c>
    </row>
    <row r="787" spans="1:17" x14ac:dyDescent="0.2">
      <c r="A787">
        <f t="shared" si="168"/>
        <v>786</v>
      </c>
      <c r="B787">
        <f t="shared" si="160"/>
        <v>176.47058823529412</v>
      </c>
      <c r="C787">
        <f t="shared" si="169"/>
        <v>786000</v>
      </c>
      <c r="E787" t="s">
        <v>14</v>
      </c>
      <c r="F787">
        <v>30.174086320000001</v>
      </c>
      <c r="G787">
        <v>43.429000000000002</v>
      </c>
      <c r="H787">
        <f t="shared" si="161"/>
        <v>0.69479118377121274</v>
      </c>
      <c r="I787">
        <v>3039.5539570000001</v>
      </c>
      <c r="J787">
        <f t="shared" si="162"/>
        <v>4374.7733534870131</v>
      </c>
      <c r="K787" s="1">
        <v>1.53E-6</v>
      </c>
      <c r="L787" s="1">
        <f t="shared" si="163"/>
        <v>108220.9363678743</v>
      </c>
      <c r="M787" s="1">
        <f t="shared" si="164"/>
        <v>948015402.58257878</v>
      </c>
      <c r="N787">
        <f t="shared" si="165"/>
        <v>2.0596694914864894E+72</v>
      </c>
      <c r="O787">
        <v>6.6073600969999999</v>
      </c>
      <c r="P787" s="1">
        <f t="shared" si="166"/>
        <v>2.2289936097701137E+77</v>
      </c>
      <c r="Q787" s="1">
        <f t="shared" si="167"/>
        <v>3.3735010307401952E+76</v>
      </c>
    </row>
    <row r="788" spans="1:17" x14ac:dyDescent="0.2">
      <c r="A788">
        <f t="shared" si="168"/>
        <v>787</v>
      </c>
      <c r="B788">
        <f t="shared" si="160"/>
        <v>176.47058823529412</v>
      </c>
      <c r="C788">
        <f t="shared" si="169"/>
        <v>787000</v>
      </c>
      <c r="E788" t="s">
        <v>14</v>
      </c>
      <c r="F788">
        <v>29.575700619999999</v>
      </c>
      <c r="G788">
        <v>43.429000000000002</v>
      </c>
      <c r="H788">
        <f t="shared" si="161"/>
        <v>0.6810127016509705</v>
      </c>
      <c r="I788">
        <v>2023.9899190000001</v>
      </c>
      <c r="J788">
        <f t="shared" si="162"/>
        <v>2972.0296172057683</v>
      </c>
      <c r="K788" s="1">
        <v>1.6199999999999999E-6</v>
      </c>
      <c r="L788" s="1">
        <f t="shared" si="163"/>
        <v>98195.035083218623</v>
      </c>
      <c r="M788" s="1">
        <f t="shared" si="164"/>
        <v>860188507.32899511</v>
      </c>
      <c r="N788">
        <f t="shared" si="165"/>
        <v>1.4044619171454917E+49</v>
      </c>
      <c r="O788">
        <v>6.8734793190000003</v>
      </c>
      <c r="P788" s="1">
        <f t="shared" si="166"/>
        <v>1.3791118722714604E+54</v>
      </c>
      <c r="Q788" s="1">
        <f t="shared" si="167"/>
        <v>2.0064247061299121E+53</v>
      </c>
    </row>
    <row r="789" spans="1:17" x14ac:dyDescent="0.2">
      <c r="A789">
        <f t="shared" si="168"/>
        <v>788</v>
      </c>
      <c r="B789">
        <f t="shared" si="160"/>
        <v>176.47058823529412</v>
      </c>
      <c r="C789">
        <f t="shared" si="169"/>
        <v>788000</v>
      </c>
      <c r="E789" t="s">
        <v>14</v>
      </c>
      <c r="F789">
        <v>31.27699527</v>
      </c>
      <c r="G789">
        <v>43.429000000000002</v>
      </c>
      <c r="H789">
        <f t="shared" si="161"/>
        <v>0.72018686292569478</v>
      </c>
      <c r="I789">
        <v>597.59067030000006</v>
      </c>
      <c r="J789">
        <f t="shared" si="162"/>
        <v>829.77168990884024</v>
      </c>
      <c r="K789" s="1">
        <v>1.3799999999999999E-6</v>
      </c>
      <c r="L789" s="1">
        <f t="shared" si="163"/>
        <v>128915.58500945542</v>
      </c>
      <c r="M789" s="1">
        <f t="shared" si="164"/>
        <v>1129300524.6828294</v>
      </c>
      <c r="N789">
        <f t="shared" si="165"/>
        <v>58635257748669.086</v>
      </c>
      <c r="O789">
        <v>5.3832116790000004</v>
      </c>
      <c r="P789" s="1">
        <f t="shared" si="166"/>
        <v>7.558998554849879E+18</v>
      </c>
      <c r="Q789" s="1">
        <f t="shared" si="167"/>
        <v>1.404180070484254E+18</v>
      </c>
    </row>
    <row r="790" spans="1:17" x14ac:dyDescent="0.2">
      <c r="A790">
        <f t="shared" si="168"/>
        <v>789</v>
      </c>
      <c r="B790">
        <f t="shared" si="160"/>
        <v>176.47058823529412</v>
      </c>
      <c r="C790">
        <f t="shared" si="169"/>
        <v>789000</v>
      </c>
      <c r="E790" t="s">
        <v>14</v>
      </c>
      <c r="F790">
        <v>30.090151559999999</v>
      </c>
      <c r="G790">
        <v>43.429000000000002</v>
      </c>
      <c r="H790">
        <f t="shared" si="161"/>
        <v>0.69285849455433002</v>
      </c>
      <c r="I790">
        <v>532.04238750000002</v>
      </c>
      <c r="J790">
        <f t="shared" si="162"/>
        <v>767.89473129318799</v>
      </c>
      <c r="K790" s="1">
        <v>1.5400000000000001E-6</v>
      </c>
      <c r="L790" s="1">
        <f t="shared" si="163"/>
        <v>106920.87172876607</v>
      </c>
      <c r="M790" s="1">
        <f t="shared" si="164"/>
        <v>936626836.3439908</v>
      </c>
      <c r="N790">
        <f t="shared" si="165"/>
        <v>5575219624676.9033</v>
      </c>
      <c r="O790">
        <v>8.5766423360000008</v>
      </c>
      <c r="P790" s="1">
        <f t="shared" si="166"/>
        <v>5.9610734234977843E+17</v>
      </c>
      <c r="Q790" s="1">
        <f t="shared" si="167"/>
        <v>6.9503579489102576E+16</v>
      </c>
    </row>
    <row r="791" spans="1:17" x14ac:dyDescent="0.2">
      <c r="A791">
        <f t="shared" si="168"/>
        <v>790</v>
      </c>
      <c r="B791">
        <f t="shared" si="160"/>
        <v>176.47058823529412</v>
      </c>
      <c r="C791">
        <f t="shared" si="169"/>
        <v>790000</v>
      </c>
      <c r="E791" t="s">
        <v>14</v>
      </c>
      <c r="F791">
        <v>29.91797352</v>
      </c>
      <c r="G791">
        <v>43.429000000000002</v>
      </c>
      <c r="H791">
        <f t="shared" si="161"/>
        <v>0.68889390775748927</v>
      </c>
      <c r="I791">
        <v>1428.3532270000001</v>
      </c>
      <c r="J791">
        <f t="shared" si="162"/>
        <v>2073.400869009894</v>
      </c>
      <c r="K791" s="1">
        <v>1.57E-6</v>
      </c>
      <c r="L791" s="1">
        <f t="shared" si="163"/>
        <v>103680.99486488329</v>
      </c>
      <c r="M791" s="1">
        <f t="shared" si="164"/>
        <v>908245515.01637769</v>
      </c>
      <c r="N791">
        <f t="shared" si="165"/>
        <v>2.0261535641758957E+34</v>
      </c>
      <c r="O791">
        <v>7.9531630169999996</v>
      </c>
      <c r="P791" s="1">
        <f t="shared" si="166"/>
        <v>2.1007361728278603E+39</v>
      </c>
      <c r="Q791" s="1">
        <f t="shared" si="167"/>
        <v>2.6413845263041972E+38</v>
      </c>
    </row>
    <row r="792" spans="1:17" x14ac:dyDescent="0.2">
      <c r="A792">
        <f t="shared" si="168"/>
        <v>791</v>
      </c>
      <c r="B792">
        <f t="shared" si="160"/>
        <v>176.47058823529412</v>
      </c>
      <c r="C792">
        <f t="shared" si="169"/>
        <v>791000</v>
      </c>
      <c r="E792" t="s">
        <v>14</v>
      </c>
      <c r="F792">
        <v>30.04687942</v>
      </c>
      <c r="G792">
        <v>43.429000000000002</v>
      </c>
      <c r="H792">
        <f t="shared" si="161"/>
        <v>0.6918621064265813</v>
      </c>
      <c r="I792">
        <v>502.01586959999997</v>
      </c>
      <c r="J792">
        <f t="shared" si="162"/>
        <v>725.60104815232091</v>
      </c>
      <c r="K792" s="1">
        <v>1.55E-6</v>
      </c>
      <c r="L792" s="1">
        <f t="shared" si="163"/>
        <v>105925.74115354579</v>
      </c>
      <c r="M792" s="1">
        <f t="shared" si="164"/>
        <v>927909492.50506115</v>
      </c>
      <c r="N792">
        <f t="shared" si="165"/>
        <v>1116304213615.7063</v>
      </c>
      <c r="O792">
        <v>8.0900243310000004</v>
      </c>
      <c r="P792" s="1">
        <f t="shared" si="166"/>
        <v>1.1824535118006979E+17</v>
      </c>
      <c r="Q792" s="1">
        <f t="shared" si="167"/>
        <v>1.4616192281025388E+16</v>
      </c>
    </row>
    <row r="793" spans="1:17" x14ac:dyDescent="0.2">
      <c r="A793">
        <f t="shared" si="168"/>
        <v>792</v>
      </c>
      <c r="B793">
        <f t="shared" si="160"/>
        <v>176.47058823529412</v>
      </c>
      <c r="C793">
        <f t="shared" si="169"/>
        <v>792000</v>
      </c>
      <c r="E793" t="s">
        <v>14</v>
      </c>
      <c r="F793">
        <v>30.649340540000001</v>
      </c>
      <c r="G793">
        <v>43.429000000000002</v>
      </c>
      <c r="H793">
        <f t="shared" si="161"/>
        <v>0.70573442952865595</v>
      </c>
      <c r="I793">
        <v>250.01841450000001</v>
      </c>
      <c r="J793">
        <f t="shared" si="162"/>
        <v>354.26699341703033</v>
      </c>
      <c r="K793" s="1">
        <v>1.46E-6</v>
      </c>
      <c r="L793" s="1">
        <f t="shared" si="163"/>
        <v>117010.2412072556</v>
      </c>
      <c r="M793" s="1">
        <f t="shared" si="164"/>
        <v>1025009712.9755591</v>
      </c>
      <c r="N793">
        <f t="shared" si="165"/>
        <v>822635.2792561691</v>
      </c>
      <c r="O793">
        <v>9.2267335769999992</v>
      </c>
      <c r="P793" s="1">
        <f t="shared" si="166"/>
        <v>96256752451.362411</v>
      </c>
      <c r="Q793" s="1">
        <f t="shared" si="167"/>
        <v>10432375840.0597</v>
      </c>
    </row>
    <row r="794" spans="1:17" x14ac:dyDescent="0.2">
      <c r="A794">
        <f t="shared" si="168"/>
        <v>793</v>
      </c>
      <c r="B794">
        <f t="shared" si="160"/>
        <v>176.47058823529412</v>
      </c>
      <c r="C794">
        <f t="shared" si="169"/>
        <v>793000</v>
      </c>
      <c r="E794" t="s">
        <v>14</v>
      </c>
      <c r="F794">
        <v>30.94213586</v>
      </c>
      <c r="G794">
        <v>43.429000000000002</v>
      </c>
      <c r="H794">
        <f t="shared" si="161"/>
        <v>0.71247636049644247</v>
      </c>
      <c r="I794">
        <v>502.01586959999997</v>
      </c>
      <c r="J794">
        <f t="shared" si="162"/>
        <v>704.60705426100469</v>
      </c>
      <c r="K794" s="1">
        <v>1.42E-6</v>
      </c>
      <c r="L794" s="1">
        <f t="shared" si="163"/>
        <v>122615.87291783524</v>
      </c>
      <c r="M794" s="1">
        <f t="shared" si="164"/>
        <v>1074115046.7602367</v>
      </c>
      <c r="N794">
        <f t="shared" si="165"/>
        <v>502420246918.20642</v>
      </c>
      <c r="O794">
        <v>10.325425790000001</v>
      </c>
      <c r="P794" s="1">
        <f t="shared" si="166"/>
        <v>6.16046971474702E+16</v>
      </c>
      <c r="Q794" s="1">
        <f t="shared" si="167"/>
        <v>5966310581316008</v>
      </c>
    </row>
    <row r="795" spans="1:17" x14ac:dyDescent="0.2">
      <c r="A795">
        <f t="shared" si="168"/>
        <v>794</v>
      </c>
      <c r="B795">
        <f t="shared" si="160"/>
        <v>176.47058823529412</v>
      </c>
      <c r="C795">
        <f t="shared" si="169"/>
        <v>794000</v>
      </c>
      <c r="E795" t="s">
        <v>14</v>
      </c>
      <c r="F795">
        <v>31.269575719999999</v>
      </c>
      <c r="G795">
        <v>43.429000000000002</v>
      </c>
      <c r="H795">
        <f t="shared" si="161"/>
        <v>0.7200160197103318</v>
      </c>
      <c r="I795">
        <v>532.04238750000002</v>
      </c>
      <c r="J795">
        <f t="shared" si="162"/>
        <v>738.9313194920926</v>
      </c>
      <c r="K795" s="1">
        <v>1.3799999999999999E-6</v>
      </c>
      <c r="L795" s="1">
        <f t="shared" si="163"/>
        <v>128854.42937924029</v>
      </c>
      <c r="M795" s="1">
        <f t="shared" si="164"/>
        <v>1128764801.3621449</v>
      </c>
      <c r="N795">
        <f t="shared" si="165"/>
        <v>1853240384175.1125</v>
      </c>
      <c r="O795">
        <v>12.76231752</v>
      </c>
      <c r="P795" s="1">
        <f t="shared" si="166"/>
        <v>2.3879823220544819E+17</v>
      </c>
      <c r="Q795" s="1">
        <f t="shared" si="167"/>
        <v>1.8711196601340176E+16</v>
      </c>
    </row>
    <row r="796" spans="1:17" x14ac:dyDescent="0.2">
      <c r="A796">
        <f t="shared" si="168"/>
        <v>795</v>
      </c>
      <c r="B796">
        <f t="shared" si="160"/>
        <v>176.47058823529412</v>
      </c>
      <c r="C796">
        <f t="shared" si="169"/>
        <v>795000</v>
      </c>
      <c r="E796" t="s">
        <v>14</v>
      </c>
      <c r="F796">
        <v>31.084920889999999</v>
      </c>
      <c r="G796">
        <v>43.429000000000002</v>
      </c>
      <c r="H796">
        <f t="shared" si="161"/>
        <v>0.71576414124202714</v>
      </c>
      <c r="I796">
        <v>799.00177810000002</v>
      </c>
      <c r="J796">
        <f t="shared" si="162"/>
        <v>1116.2919907017626</v>
      </c>
      <c r="K796" s="1">
        <v>1.4100000000000001E-6</v>
      </c>
      <c r="L796" s="1">
        <f t="shared" si="163"/>
        <v>124627.78646777465</v>
      </c>
      <c r="M796" s="1">
        <f t="shared" si="164"/>
        <v>1091739409.457706</v>
      </c>
      <c r="N796">
        <f t="shared" si="165"/>
        <v>3.162543089804566E+18</v>
      </c>
      <c r="O796">
        <v>5.1703163019999998</v>
      </c>
      <c r="P796" s="1">
        <f t="shared" si="166"/>
        <v>3.9414074489129977E+23</v>
      </c>
      <c r="Q796" s="1">
        <f t="shared" si="167"/>
        <v>7.6231457007540686E+22</v>
      </c>
    </row>
    <row r="797" spans="1:17" x14ac:dyDescent="0.2">
      <c r="A797">
        <f t="shared" si="168"/>
        <v>796</v>
      </c>
      <c r="B797">
        <f t="shared" si="160"/>
        <v>176.47058823529412</v>
      </c>
      <c r="C797">
        <f t="shared" si="169"/>
        <v>796000</v>
      </c>
      <c r="E797" t="s">
        <v>14</v>
      </c>
      <c r="F797">
        <v>30.94236472</v>
      </c>
      <c r="G797">
        <v>43.429000000000002</v>
      </c>
      <c r="H797">
        <f t="shared" si="161"/>
        <v>0.7124816302470699</v>
      </c>
      <c r="I797">
        <v>250.01841450000001</v>
      </c>
      <c r="J797">
        <f t="shared" si="162"/>
        <v>350.91208514849734</v>
      </c>
      <c r="K797" s="1">
        <v>1.42E-6</v>
      </c>
      <c r="L797" s="1">
        <f t="shared" si="163"/>
        <v>122617.68675334944</v>
      </c>
      <c r="M797" s="1">
        <f t="shared" si="164"/>
        <v>1074130935.959341</v>
      </c>
      <c r="N797">
        <f t="shared" si="165"/>
        <v>724104.22395288642</v>
      </c>
      <c r="O797">
        <v>5.6341240880000001</v>
      </c>
      <c r="P797" s="1">
        <f t="shared" si="166"/>
        <v>88787984909.43222</v>
      </c>
      <c r="Q797" s="1">
        <f t="shared" si="167"/>
        <v>15758968656.466022</v>
      </c>
    </row>
    <row r="798" spans="1:17" x14ac:dyDescent="0.2">
      <c r="A798">
        <f t="shared" si="168"/>
        <v>797</v>
      </c>
      <c r="B798">
        <f t="shared" si="160"/>
        <v>176.47058823529412</v>
      </c>
      <c r="C798">
        <f t="shared" si="169"/>
        <v>797000</v>
      </c>
      <c r="E798" t="s">
        <v>14</v>
      </c>
      <c r="F798">
        <v>31.081083209999999</v>
      </c>
      <c r="G798">
        <v>43.429000000000002</v>
      </c>
      <c r="H798">
        <f t="shared" si="161"/>
        <v>0.71567577448248865</v>
      </c>
      <c r="I798">
        <v>264.97248830000001</v>
      </c>
      <c r="J798">
        <f t="shared" si="162"/>
        <v>370.24096350278717</v>
      </c>
      <c r="K798" s="1">
        <v>1.4100000000000001E-6</v>
      </c>
      <c r="L798" s="1">
        <f t="shared" si="163"/>
        <v>124597.01579015654</v>
      </c>
      <c r="M798" s="1">
        <f t="shared" si="164"/>
        <v>1091469858.3217714</v>
      </c>
      <c r="N798">
        <f t="shared" si="165"/>
        <v>1510139.8192665156</v>
      </c>
      <c r="O798">
        <v>5.9800790749999999</v>
      </c>
      <c r="P798" s="1">
        <f t="shared" si="166"/>
        <v>188158914906.49417</v>
      </c>
      <c r="Q798" s="1">
        <f t="shared" si="167"/>
        <v>31464285429.452148</v>
      </c>
    </row>
    <row r="799" spans="1:17" x14ac:dyDescent="0.2">
      <c r="A799">
        <f t="shared" si="168"/>
        <v>798</v>
      </c>
      <c r="B799">
        <f t="shared" si="160"/>
        <v>176.47058823529412</v>
      </c>
      <c r="C799">
        <f t="shared" si="169"/>
        <v>798000</v>
      </c>
      <c r="E799" t="s">
        <v>14</v>
      </c>
      <c r="F799">
        <v>31.370896370000001</v>
      </c>
      <c r="G799">
        <v>43.429000000000002</v>
      </c>
      <c r="H799">
        <f t="shared" si="161"/>
        <v>0.72234903797002004</v>
      </c>
      <c r="I799">
        <v>1347.7422180000001</v>
      </c>
      <c r="J799">
        <f t="shared" si="162"/>
        <v>1865.7769958239164</v>
      </c>
      <c r="K799" s="1">
        <v>1.37E-6</v>
      </c>
      <c r="L799" s="1">
        <f t="shared" si="163"/>
        <v>130637.4667891104</v>
      </c>
      <c r="M799" s="1">
        <f t="shared" si="164"/>
        <v>1144384209.072607</v>
      </c>
      <c r="N799">
        <f t="shared" si="165"/>
        <v>7.5468866550883548E+30</v>
      </c>
      <c r="O799">
        <v>5.6949513380000001</v>
      </c>
      <c r="P799" s="1">
        <f t="shared" si="166"/>
        <v>9.8590615476528548E+35</v>
      </c>
      <c r="Q799" s="1">
        <f t="shared" si="167"/>
        <v>1.7311932907780107E+35</v>
      </c>
    </row>
    <row r="800" spans="1:17" x14ac:dyDescent="0.2">
      <c r="A800">
        <f t="shared" si="168"/>
        <v>799</v>
      </c>
      <c r="B800">
        <f t="shared" si="160"/>
        <v>176.47058823529412</v>
      </c>
      <c r="C800">
        <f t="shared" si="169"/>
        <v>799000</v>
      </c>
      <c r="E800" t="s">
        <v>14</v>
      </c>
      <c r="F800">
        <v>31.29327112</v>
      </c>
      <c r="G800">
        <v>43.429000000000002</v>
      </c>
      <c r="H800">
        <f t="shared" si="161"/>
        <v>0.72056163208915702</v>
      </c>
      <c r="I800">
        <v>2553.4272850000002</v>
      </c>
      <c r="J800">
        <f t="shared" si="162"/>
        <v>3543.6625699827127</v>
      </c>
      <c r="K800" s="1">
        <v>1.3799999999999999E-6</v>
      </c>
      <c r="L800" s="1">
        <f t="shared" si="163"/>
        <v>129049.78950302428</v>
      </c>
      <c r="M800" s="1">
        <f t="shared" si="164"/>
        <v>1130476156.0464926</v>
      </c>
      <c r="N800">
        <f t="shared" si="165"/>
        <v>3.8727360538114888E+58</v>
      </c>
      <c r="O800">
        <v>5.4934610709999996</v>
      </c>
      <c r="P800" s="1">
        <f t="shared" si="166"/>
        <v>4.9977577254514557E+63</v>
      </c>
      <c r="Q800" s="1">
        <f t="shared" si="167"/>
        <v>9.0976483875250097E+62</v>
      </c>
    </row>
    <row r="801" spans="1:17" x14ac:dyDescent="0.2">
      <c r="A801">
        <f t="shared" si="168"/>
        <v>800</v>
      </c>
      <c r="B801">
        <f>3000/17</f>
        <v>176.47058823529412</v>
      </c>
      <c r="C801">
        <f t="shared" si="169"/>
        <v>800000</v>
      </c>
      <c r="E801" t="s">
        <v>14</v>
      </c>
      <c r="F801">
        <v>31.392866600000001</v>
      </c>
      <c r="G801">
        <v>43.429000000000002</v>
      </c>
      <c r="H801">
        <f t="shared" si="161"/>
        <v>0.72285492643164706</v>
      </c>
      <c r="I801">
        <v>250.01841450000001</v>
      </c>
      <c r="J801">
        <f t="shared" si="162"/>
        <v>345.87633750275296</v>
      </c>
      <c r="K801" s="1">
        <v>1.37E-6</v>
      </c>
      <c r="L801" s="1">
        <f t="shared" si="163"/>
        <v>130820.51162088334</v>
      </c>
      <c r="M801" s="1">
        <f t="shared" si="164"/>
        <v>1145987681.798938</v>
      </c>
      <c r="N801">
        <f t="shared" si="165"/>
        <v>597909.9753316514</v>
      </c>
      <c r="O801">
        <v>5.4288321169999998</v>
      </c>
      <c r="P801" s="1">
        <f t="shared" si="166"/>
        <v>78218888876.116364</v>
      </c>
      <c r="Q801" s="1">
        <f t="shared" si="167"/>
        <v>14408050790.73628</v>
      </c>
    </row>
    <row r="802" spans="1:17" x14ac:dyDescent="0.2">
      <c r="A802">
        <f t="shared" si="168"/>
        <v>801</v>
      </c>
      <c r="B802">
        <f t="shared" ref="B802:B850" si="170">3000/17</f>
        <v>176.47058823529412</v>
      </c>
      <c r="C802">
        <f t="shared" si="169"/>
        <v>801000</v>
      </c>
      <c r="E802" t="s">
        <v>14</v>
      </c>
      <c r="F802">
        <v>30.71406472</v>
      </c>
      <c r="G802">
        <v>43.429000000000002</v>
      </c>
      <c r="H802">
        <f t="shared" si="161"/>
        <v>0.7072247742292016</v>
      </c>
      <c r="I802">
        <v>250.01841450000001</v>
      </c>
      <c r="J802">
        <f t="shared" si="162"/>
        <v>353.52044160570165</v>
      </c>
      <c r="K802" s="1">
        <v>1.4500000000000001E-6</v>
      </c>
      <c r="L802" s="1">
        <f t="shared" si="163"/>
        <v>118315.33812431447</v>
      </c>
      <c r="M802" s="1">
        <f t="shared" si="164"/>
        <v>1036442361.9689947</v>
      </c>
      <c r="N802">
        <f t="shared" si="165"/>
        <v>799609.67601963435</v>
      </c>
      <c r="O802">
        <v>5.5961070560000001</v>
      </c>
      <c r="P802" s="1">
        <f t="shared" si="166"/>
        <v>94606089185.736588</v>
      </c>
      <c r="Q802" s="1">
        <f t="shared" si="167"/>
        <v>16905696806.550976</v>
      </c>
    </row>
    <row r="803" spans="1:17" x14ac:dyDescent="0.2">
      <c r="A803">
        <f t="shared" si="168"/>
        <v>802</v>
      </c>
      <c r="B803">
        <f t="shared" si="170"/>
        <v>176.47058823529412</v>
      </c>
      <c r="C803">
        <f t="shared" si="169"/>
        <v>802000</v>
      </c>
      <c r="E803" t="s">
        <v>14</v>
      </c>
      <c r="F803">
        <v>30.16111523</v>
      </c>
      <c r="G803">
        <v>43.429000000000002</v>
      </c>
      <c r="H803">
        <f t="shared" si="161"/>
        <v>0.69449251030417458</v>
      </c>
      <c r="I803">
        <v>1428.3532270000001</v>
      </c>
      <c r="J803">
        <f t="shared" si="162"/>
        <v>2056.6862936713433</v>
      </c>
      <c r="K803" s="1">
        <v>1.53E-6</v>
      </c>
      <c r="L803" s="1">
        <f t="shared" si="163"/>
        <v>108127.91338295932</v>
      </c>
      <c r="M803" s="1">
        <f t="shared" si="164"/>
        <v>947200521.23472369</v>
      </c>
      <c r="N803">
        <f t="shared" si="165"/>
        <v>1.0730783847432709E+34</v>
      </c>
      <c r="O803">
        <v>6.2690085160000004</v>
      </c>
      <c r="P803" s="1">
        <f t="shared" si="166"/>
        <v>1.1602972663864629E+39</v>
      </c>
      <c r="Q803" s="1">
        <f t="shared" si="167"/>
        <v>1.8508465308750314E+38</v>
      </c>
    </row>
    <row r="804" spans="1:17" x14ac:dyDescent="0.2">
      <c r="A804">
        <f t="shared" si="168"/>
        <v>803</v>
      </c>
      <c r="B804">
        <f t="shared" si="170"/>
        <v>176.47058823529412</v>
      </c>
      <c r="C804">
        <f t="shared" si="169"/>
        <v>803000</v>
      </c>
      <c r="E804" t="s">
        <v>14</v>
      </c>
      <c r="F804">
        <v>29.846348630000001</v>
      </c>
      <c r="G804">
        <v>43.429000000000002</v>
      </c>
      <c r="H804">
        <f t="shared" si="161"/>
        <v>0.68724466669736817</v>
      </c>
      <c r="I804">
        <v>502.01586959999997</v>
      </c>
      <c r="J804">
        <f t="shared" si="162"/>
        <v>730.47619563567355</v>
      </c>
      <c r="K804" s="1">
        <v>1.5799999999999999E-6</v>
      </c>
      <c r="L804" s="1">
        <f t="shared" si="163"/>
        <v>102532.08515383799</v>
      </c>
      <c r="M804" s="1">
        <f t="shared" si="164"/>
        <v>898181065.94762087</v>
      </c>
      <c r="N804">
        <f t="shared" si="165"/>
        <v>1343679022504.502</v>
      </c>
      <c r="O804">
        <v>10.96791363</v>
      </c>
      <c r="P804" s="1">
        <f t="shared" si="166"/>
        <v>1.3777021195485739E+17</v>
      </c>
      <c r="Q804" s="1">
        <f t="shared" si="167"/>
        <v>1.2561205038852716E+16</v>
      </c>
    </row>
    <row r="805" spans="1:17" x14ac:dyDescent="0.2">
      <c r="A805">
        <f t="shared" si="168"/>
        <v>804</v>
      </c>
      <c r="B805">
        <f t="shared" si="170"/>
        <v>176.47058823529412</v>
      </c>
      <c r="C805">
        <f t="shared" si="169"/>
        <v>804000</v>
      </c>
      <c r="E805" t="s">
        <v>14</v>
      </c>
      <c r="F805">
        <v>30.109515009999999</v>
      </c>
      <c r="G805">
        <v>43.429000000000002</v>
      </c>
      <c r="H805">
        <f t="shared" si="161"/>
        <v>0.69330435906882493</v>
      </c>
      <c r="I805">
        <v>375.46850110000003</v>
      </c>
      <c r="J805">
        <f t="shared" si="162"/>
        <v>541.56373919859766</v>
      </c>
      <c r="K805" s="1">
        <v>1.5400000000000001E-6</v>
      </c>
      <c r="L805" s="1">
        <f t="shared" si="163"/>
        <v>107058.52627676306</v>
      </c>
      <c r="M805" s="1">
        <f t="shared" si="164"/>
        <v>937832690.18444443</v>
      </c>
      <c r="N805">
        <f t="shared" si="165"/>
        <v>1019552790.3997989</v>
      </c>
      <c r="O805">
        <v>9.1697080290000006</v>
      </c>
      <c r="P805" s="1">
        <f t="shared" si="166"/>
        <v>109151819201563.97</v>
      </c>
      <c r="Q805" s="1">
        <f t="shared" si="167"/>
        <v>11903521775869.18</v>
      </c>
    </row>
    <row r="806" spans="1:17" x14ac:dyDescent="0.2">
      <c r="A806">
        <f t="shared" si="168"/>
        <v>805</v>
      </c>
      <c r="B806">
        <f t="shared" si="170"/>
        <v>176.47058823529412</v>
      </c>
      <c r="C806">
        <f t="shared" si="169"/>
        <v>805000</v>
      </c>
      <c r="E806" t="s">
        <v>14</v>
      </c>
      <c r="F806">
        <v>30.498207390000001</v>
      </c>
      <c r="G806">
        <v>43.429000000000002</v>
      </c>
      <c r="H806">
        <f t="shared" si="161"/>
        <v>0.70225442423265561</v>
      </c>
      <c r="I806">
        <v>502.01586959999997</v>
      </c>
      <c r="J806">
        <f t="shared" si="162"/>
        <v>714.86323514237199</v>
      </c>
      <c r="K806" s="1">
        <v>1.48E-6</v>
      </c>
      <c r="L806" s="1">
        <f t="shared" si="163"/>
        <v>114293.45796590418</v>
      </c>
      <c r="M806" s="1">
        <f t="shared" si="164"/>
        <v>1001210691.7813206</v>
      </c>
      <c r="N806">
        <f t="shared" si="165"/>
        <v>742074956610.05823</v>
      </c>
      <c r="O806">
        <v>6.25</v>
      </c>
      <c r="P806" s="1">
        <f t="shared" si="166"/>
        <v>8.4814312860861856E+16</v>
      </c>
      <c r="Q806" s="1">
        <f t="shared" si="167"/>
        <v>1.3570290057737896E+16</v>
      </c>
    </row>
    <row r="807" spans="1:17" x14ac:dyDescent="0.2">
      <c r="A807">
        <f t="shared" si="168"/>
        <v>806</v>
      </c>
      <c r="B807">
        <f t="shared" si="170"/>
        <v>176.47058823529412</v>
      </c>
      <c r="C807">
        <f t="shared" si="169"/>
        <v>806000</v>
      </c>
      <c r="E807" t="s">
        <v>14</v>
      </c>
      <c r="F807">
        <v>30.37638376</v>
      </c>
      <c r="G807">
        <v>43.429000000000002</v>
      </c>
      <c r="H807">
        <f t="shared" si="161"/>
        <v>0.69944930253977755</v>
      </c>
      <c r="I807">
        <v>532.04238750000002</v>
      </c>
      <c r="J807">
        <f t="shared" si="162"/>
        <v>760.65897209146601</v>
      </c>
      <c r="K807" s="1">
        <v>1.5E-6</v>
      </c>
      <c r="L807" s="1">
        <f t="shared" si="163"/>
        <v>111870.43940027985</v>
      </c>
      <c r="M807" s="1">
        <f t="shared" si="164"/>
        <v>979985049.14645147</v>
      </c>
      <c r="N807">
        <f t="shared" si="165"/>
        <v>4234123752573.1147</v>
      </c>
      <c r="O807">
        <v>6.9419099759999998</v>
      </c>
      <c r="P807" s="1">
        <f t="shared" si="166"/>
        <v>4.7367328467551616E+17</v>
      </c>
      <c r="Q807" s="1">
        <f t="shared" si="167"/>
        <v>6.8233855857124152E+16</v>
      </c>
    </row>
    <row r="808" spans="1:17" x14ac:dyDescent="0.2">
      <c r="A808">
        <f t="shared" si="168"/>
        <v>807</v>
      </c>
      <c r="B808">
        <f t="shared" si="170"/>
        <v>176.47058823529412</v>
      </c>
      <c r="C808">
        <f t="shared" si="169"/>
        <v>807000</v>
      </c>
      <c r="E808" t="s">
        <v>14</v>
      </c>
      <c r="F808">
        <v>30.223331080000001</v>
      </c>
      <c r="G808">
        <v>43.429000000000002</v>
      </c>
      <c r="H808">
        <f t="shared" si="161"/>
        <v>0.69592509797600677</v>
      </c>
      <c r="I808">
        <v>563.86484810000002</v>
      </c>
      <c r="J808">
        <f t="shared" si="162"/>
        <v>810.23783987661307</v>
      </c>
      <c r="K808" s="1">
        <v>1.5200000000000001E-6</v>
      </c>
      <c r="L808" s="1">
        <f t="shared" si="163"/>
        <v>109288.76809445376</v>
      </c>
      <c r="M808" s="1">
        <f t="shared" si="164"/>
        <v>957369608.50741494</v>
      </c>
      <c r="N808">
        <f t="shared" si="165"/>
        <v>27897009909755.016</v>
      </c>
      <c r="O808">
        <v>7.603406326</v>
      </c>
      <c r="P808" s="1">
        <f t="shared" si="166"/>
        <v>3.0488298465558943E+18</v>
      </c>
      <c r="Q808" s="1">
        <f t="shared" si="167"/>
        <v>4.0098210142082758E+17</v>
      </c>
    </row>
    <row r="809" spans="1:17" x14ac:dyDescent="0.2">
      <c r="A809">
        <f t="shared" si="168"/>
        <v>808</v>
      </c>
      <c r="B809">
        <f t="shared" si="170"/>
        <v>176.47058823529412</v>
      </c>
      <c r="C809">
        <f t="shared" si="169"/>
        <v>808000</v>
      </c>
      <c r="E809" t="s">
        <v>14</v>
      </c>
      <c r="F809">
        <v>30.06615523</v>
      </c>
      <c r="G809">
        <v>43.429000000000002</v>
      </c>
      <c r="H809">
        <f t="shared" si="161"/>
        <v>0.6923059529346749</v>
      </c>
      <c r="I809">
        <v>597.59067030000006</v>
      </c>
      <c r="J809">
        <f t="shared" si="162"/>
        <v>863.18869246584097</v>
      </c>
      <c r="K809" s="1">
        <v>1.5400000000000001E-6</v>
      </c>
      <c r="L809" s="1">
        <f t="shared" si="163"/>
        <v>106750.4049589574</v>
      </c>
      <c r="M809" s="1">
        <f t="shared" si="164"/>
        <v>935133547.44046676</v>
      </c>
      <c r="N809">
        <f t="shared" si="165"/>
        <v>208948873747870.16</v>
      </c>
      <c r="O809">
        <v>8.2649026760000002</v>
      </c>
      <c r="P809" s="1">
        <f t="shared" si="166"/>
        <v>2.2305376888303202E+19</v>
      </c>
      <c r="Q809" s="1">
        <f t="shared" si="167"/>
        <v>2.6988069627334595E+18</v>
      </c>
    </row>
    <row r="810" spans="1:17" x14ac:dyDescent="0.2">
      <c r="A810">
        <f t="shared" si="168"/>
        <v>809</v>
      </c>
      <c r="B810">
        <f t="shared" si="170"/>
        <v>176.47058823529412</v>
      </c>
      <c r="C810">
        <f t="shared" si="169"/>
        <v>809000</v>
      </c>
      <c r="E810" t="s">
        <v>14</v>
      </c>
      <c r="F810">
        <v>29.956993220000001</v>
      </c>
      <c r="G810">
        <v>43.429000000000002</v>
      </c>
      <c r="H810">
        <f t="shared" si="161"/>
        <v>0.68979237882520894</v>
      </c>
      <c r="I810">
        <v>354.27843819999998</v>
      </c>
      <c r="J810">
        <f t="shared" si="162"/>
        <v>513.60155472197948</v>
      </c>
      <c r="K810" s="1">
        <v>1.5600000000000001E-6</v>
      </c>
      <c r="L810" s="1">
        <f t="shared" si="163"/>
        <v>104617.97396068706</v>
      </c>
      <c r="M810" s="1">
        <f t="shared" si="164"/>
        <v>916453451.89561868</v>
      </c>
      <c r="N810">
        <f t="shared" si="165"/>
        <v>352058426.84262365</v>
      </c>
      <c r="O810">
        <v>8.538625304</v>
      </c>
      <c r="P810" s="1">
        <f t="shared" si="166"/>
        <v>36831639332062.047</v>
      </c>
      <c r="Q810" s="1">
        <f t="shared" si="167"/>
        <v>4313532684799.7319</v>
      </c>
    </row>
    <row r="811" spans="1:17" x14ac:dyDescent="0.2">
      <c r="A811">
        <f t="shared" si="168"/>
        <v>810</v>
      </c>
      <c r="B811">
        <f t="shared" si="170"/>
        <v>176.47058823529412</v>
      </c>
      <c r="C811">
        <f t="shared" si="169"/>
        <v>810000</v>
      </c>
      <c r="E811" t="s">
        <v>14</v>
      </c>
      <c r="F811">
        <v>29.877258080000001</v>
      </c>
      <c r="G811">
        <v>43.429000000000002</v>
      </c>
      <c r="H811">
        <f t="shared" si="161"/>
        <v>0.68795639043035761</v>
      </c>
      <c r="I811">
        <v>446.95095679999997</v>
      </c>
      <c r="J811">
        <f t="shared" si="162"/>
        <v>649.67919917192069</v>
      </c>
      <c r="K811" s="1">
        <v>1.57E-6</v>
      </c>
      <c r="L811" s="1">
        <f t="shared" si="163"/>
        <v>103398.98747194304</v>
      </c>
      <c r="M811" s="1">
        <f t="shared" si="164"/>
        <v>905775130.25422096</v>
      </c>
      <c r="N811">
        <f t="shared" si="165"/>
        <v>62220657201.050171</v>
      </c>
      <c r="O811">
        <v>8.3979622870000004</v>
      </c>
      <c r="P811" s="1">
        <f t="shared" si="166"/>
        <v>6433552954427449</v>
      </c>
      <c r="Q811" s="1">
        <f t="shared" si="167"/>
        <v>766085001880343.5</v>
      </c>
    </row>
    <row r="812" spans="1:17" x14ac:dyDescent="0.2">
      <c r="A812">
        <f t="shared" si="168"/>
        <v>811</v>
      </c>
      <c r="B812">
        <f t="shared" si="170"/>
        <v>176.47058823529412</v>
      </c>
      <c r="C812">
        <f t="shared" si="169"/>
        <v>811000</v>
      </c>
      <c r="E812" t="s">
        <v>14</v>
      </c>
      <c r="F812">
        <v>29.751789120000002</v>
      </c>
      <c r="G812">
        <v>43.429000000000002</v>
      </c>
      <c r="H812">
        <f t="shared" si="161"/>
        <v>0.6850673310460752</v>
      </c>
      <c r="I812">
        <v>2553.4272850000002</v>
      </c>
      <c r="J812">
        <f t="shared" si="162"/>
        <v>3727.2647071069659</v>
      </c>
      <c r="K812" s="1">
        <v>1.59E-6</v>
      </c>
      <c r="L812" s="1">
        <f t="shared" si="163"/>
        <v>101242.65162694424</v>
      </c>
      <c r="M812" s="1">
        <f t="shared" si="164"/>
        <v>886885628.25203156</v>
      </c>
      <c r="N812">
        <f t="shared" si="165"/>
        <v>4.170651389572189E+61</v>
      </c>
      <c r="O812">
        <v>8.0253953770000006</v>
      </c>
      <c r="P812" s="1">
        <f t="shared" si="166"/>
        <v>4.22247805691888E+66</v>
      </c>
      <c r="Q812" s="1">
        <f t="shared" si="167"/>
        <v>5.2613956802926995E+65</v>
      </c>
    </row>
    <row r="813" spans="1:17" x14ac:dyDescent="0.2">
      <c r="A813">
        <f t="shared" si="168"/>
        <v>812</v>
      </c>
      <c r="B813">
        <f t="shared" si="170"/>
        <v>176.47058823529412</v>
      </c>
      <c r="C813">
        <f t="shared" si="169"/>
        <v>812000</v>
      </c>
      <c r="E813" t="s">
        <v>14</v>
      </c>
      <c r="F813">
        <v>29.545232899999998</v>
      </c>
      <c r="G813">
        <v>43.429000000000002</v>
      </c>
      <c r="H813">
        <f t="shared" si="161"/>
        <v>0.68031114923207991</v>
      </c>
      <c r="I813">
        <v>753.90905290000001</v>
      </c>
      <c r="J813">
        <f t="shared" si="162"/>
        <v>1108.1827098541539</v>
      </c>
      <c r="K813" s="1">
        <v>1.6199999999999999E-6</v>
      </c>
      <c r="L813" s="1">
        <f t="shared" si="163"/>
        <v>97992.825988227996</v>
      </c>
      <c r="M813" s="1">
        <f t="shared" si="164"/>
        <v>858417155.65687728</v>
      </c>
      <c r="N813">
        <f t="shared" si="165"/>
        <v>2.3233349426297667E+18</v>
      </c>
      <c r="O813">
        <v>8.9682177620000001</v>
      </c>
      <c r="P813" s="1">
        <f t="shared" si="166"/>
        <v>2.276701567454884E+23</v>
      </c>
      <c r="Q813" s="1">
        <f t="shared" si="167"/>
        <v>2.5386332355818682E+22</v>
      </c>
    </row>
    <row r="814" spans="1:17" x14ac:dyDescent="0.2">
      <c r="A814">
        <f t="shared" si="168"/>
        <v>813</v>
      </c>
      <c r="B814">
        <f t="shared" si="170"/>
        <v>176.47058823529412</v>
      </c>
      <c r="C814">
        <f t="shared" si="169"/>
        <v>813000</v>
      </c>
      <c r="E814" t="s">
        <v>14</v>
      </c>
      <c r="F814">
        <v>29.7414326</v>
      </c>
      <c r="G814">
        <v>43.429000000000002</v>
      </c>
      <c r="H814">
        <f t="shared" si="161"/>
        <v>0.68482886089939898</v>
      </c>
      <c r="I814">
        <v>397.92598170000002</v>
      </c>
      <c r="J814">
        <f t="shared" si="162"/>
        <v>581.05901257928315</v>
      </c>
      <c r="K814" s="1">
        <v>1.59E-6</v>
      </c>
      <c r="L814" s="1">
        <f t="shared" si="163"/>
        <v>101172.17929007772</v>
      </c>
      <c r="M814" s="1">
        <f t="shared" si="164"/>
        <v>886268290.58108079</v>
      </c>
      <c r="N814">
        <f t="shared" si="165"/>
        <v>4577975318.7883043</v>
      </c>
      <c r="O814">
        <v>8.7705291970000001</v>
      </c>
      <c r="P814" s="1">
        <f t="shared" si="166"/>
        <v>463163739738001.06</v>
      </c>
      <c r="Q814" s="1">
        <f t="shared" si="167"/>
        <v>52809098440311.711</v>
      </c>
    </row>
    <row r="815" spans="1:17" x14ac:dyDescent="0.2">
      <c r="A815">
        <f t="shared" si="168"/>
        <v>814</v>
      </c>
      <c r="B815">
        <f t="shared" si="170"/>
        <v>176.47058823529412</v>
      </c>
      <c r="C815">
        <f t="shared" si="169"/>
        <v>814000</v>
      </c>
      <c r="E815" t="s">
        <v>14</v>
      </c>
      <c r="F815">
        <v>28.896323280000001</v>
      </c>
      <c r="G815">
        <v>43.429000000000002</v>
      </c>
      <c r="H815">
        <f t="shared" si="161"/>
        <v>0.66536929885560336</v>
      </c>
      <c r="I815">
        <v>473.68393809999998</v>
      </c>
      <c r="J815">
        <f t="shared" si="162"/>
        <v>711.91132340297168</v>
      </c>
      <c r="K815" s="1">
        <v>1.72E-6</v>
      </c>
      <c r="L815" s="1">
        <f t="shared" si="163"/>
        <v>88285.867572001065</v>
      </c>
      <c r="M815" s="1">
        <f t="shared" si="164"/>
        <v>773384199.93072939</v>
      </c>
      <c r="N815">
        <f t="shared" si="165"/>
        <v>663280158759.28906</v>
      </c>
      <c r="O815">
        <v>8.3371350359999994</v>
      </c>
      <c r="P815" s="1">
        <f t="shared" si="166"/>
        <v>5.855826425935844E+16</v>
      </c>
      <c r="Q815" s="1">
        <f t="shared" si="167"/>
        <v>7023787428955162</v>
      </c>
    </row>
    <row r="816" spans="1:17" x14ac:dyDescent="0.2">
      <c r="A816">
        <f t="shared" si="168"/>
        <v>815</v>
      </c>
      <c r="B816">
        <f t="shared" si="170"/>
        <v>176.47058823529412</v>
      </c>
      <c r="C816">
        <f t="shared" si="169"/>
        <v>815000</v>
      </c>
      <c r="E816" t="s">
        <v>14</v>
      </c>
      <c r="F816">
        <v>30.137906529999999</v>
      </c>
      <c r="G816">
        <v>43.429000000000002</v>
      </c>
      <c r="H816">
        <f t="shared" si="161"/>
        <v>0.69395810472265074</v>
      </c>
      <c r="I816">
        <v>315.41848870000001</v>
      </c>
      <c r="J816">
        <f t="shared" si="162"/>
        <v>454.52093801262117</v>
      </c>
      <c r="K816" s="1">
        <v>1.53E-6</v>
      </c>
      <c r="L816" s="1">
        <f t="shared" si="163"/>
        <v>107961.57054301762</v>
      </c>
      <c r="M816" s="1">
        <f t="shared" si="164"/>
        <v>945743357.95683432</v>
      </c>
      <c r="N816">
        <f t="shared" si="165"/>
        <v>37230547.422681749</v>
      </c>
      <c r="O816">
        <v>5.4706508520000003</v>
      </c>
      <c r="P816" s="1">
        <f t="shared" si="166"/>
        <v>4019468371929.0186</v>
      </c>
      <c r="Q816" s="1">
        <f t="shared" si="167"/>
        <v>734733120549.91626</v>
      </c>
    </row>
    <row r="817" spans="1:17" x14ac:dyDescent="0.2">
      <c r="A817">
        <f t="shared" si="168"/>
        <v>816</v>
      </c>
      <c r="B817">
        <f t="shared" si="170"/>
        <v>176.47058823529412</v>
      </c>
      <c r="C817">
        <f t="shared" si="169"/>
        <v>816000</v>
      </c>
      <c r="E817" t="s">
        <v>14</v>
      </c>
      <c r="F817">
        <v>30.487691900000002</v>
      </c>
      <c r="G817">
        <v>43.429000000000002</v>
      </c>
      <c r="H817">
        <f t="shared" si="161"/>
        <v>0.70201229362868134</v>
      </c>
      <c r="I817">
        <v>2706.1525969999998</v>
      </c>
      <c r="J817">
        <f t="shared" si="162"/>
        <v>3854.8507220749298</v>
      </c>
      <c r="K817" s="1">
        <v>1.48E-6</v>
      </c>
      <c r="L817" s="1">
        <f t="shared" si="163"/>
        <v>114214.65697242573</v>
      </c>
      <c r="M817" s="1">
        <f t="shared" si="164"/>
        <v>1000520395.0784494</v>
      </c>
      <c r="N817">
        <f t="shared" si="165"/>
        <v>5.3368455213654662E+63</v>
      </c>
      <c r="O817">
        <v>7.7250608270000001</v>
      </c>
      <c r="P817" s="1">
        <f t="shared" si="166"/>
        <v>6.0954598053758326E+68</v>
      </c>
      <c r="Q817" s="1">
        <f t="shared" si="167"/>
        <v>7.8905007246952424E+67</v>
      </c>
    </row>
    <row r="818" spans="1:17" x14ac:dyDescent="0.2">
      <c r="A818">
        <f t="shared" si="168"/>
        <v>817</v>
      </c>
      <c r="B818">
        <f t="shared" si="170"/>
        <v>176.47058823529412</v>
      </c>
      <c r="C818">
        <f t="shared" si="169"/>
        <v>817000</v>
      </c>
      <c r="E818" t="s">
        <v>14</v>
      </c>
      <c r="F818">
        <v>30.73485629</v>
      </c>
      <c r="G818">
        <v>43.429000000000002</v>
      </c>
      <c r="H818">
        <f t="shared" si="161"/>
        <v>0.70770352276128845</v>
      </c>
      <c r="I818">
        <v>421.72668670000002</v>
      </c>
      <c r="J818">
        <f t="shared" si="162"/>
        <v>595.90870065832678</v>
      </c>
      <c r="K818" s="1">
        <v>1.4500000000000001E-6</v>
      </c>
      <c r="L818" s="1">
        <f t="shared" si="163"/>
        <v>118475.57704286686</v>
      </c>
      <c r="M818" s="1">
        <f t="shared" si="164"/>
        <v>1037846054.8955137</v>
      </c>
      <c r="N818">
        <f t="shared" si="165"/>
        <v>8052222714.0822544</v>
      </c>
      <c r="O818">
        <v>9.4814476889999995</v>
      </c>
      <c r="P818" s="1">
        <f t="shared" si="166"/>
        <v>953991732528574.62</v>
      </c>
      <c r="Q818" s="1">
        <f t="shared" si="167"/>
        <v>100616674143059.2</v>
      </c>
    </row>
    <row r="819" spans="1:17" x14ac:dyDescent="0.2">
      <c r="A819">
        <f t="shared" si="168"/>
        <v>818</v>
      </c>
      <c r="B819">
        <f t="shared" si="170"/>
        <v>176.47058823529412</v>
      </c>
      <c r="C819">
        <f t="shared" si="169"/>
        <v>818000</v>
      </c>
      <c r="E819" t="s">
        <v>14</v>
      </c>
      <c r="F819">
        <v>30.793137949999998</v>
      </c>
      <c r="G819">
        <v>43.429000000000002</v>
      </c>
      <c r="H819">
        <f t="shared" si="161"/>
        <v>0.70904552142577537</v>
      </c>
      <c r="I819">
        <v>532.04238750000002</v>
      </c>
      <c r="J819">
        <f t="shared" si="162"/>
        <v>750.36421699716709</v>
      </c>
      <c r="K819" s="1">
        <v>1.44E-6</v>
      </c>
      <c r="L819" s="1">
        <f t="shared" si="163"/>
        <v>119751.19732548943</v>
      </c>
      <c r="M819" s="1">
        <f t="shared" si="164"/>
        <v>1049020488.5712874</v>
      </c>
      <c r="N819">
        <f t="shared" si="165"/>
        <v>2862502350800.3564</v>
      </c>
      <c r="O819">
        <v>10.34443431</v>
      </c>
      <c r="P819" s="1">
        <f t="shared" si="166"/>
        <v>3.4278808385537082E+17</v>
      </c>
      <c r="Q819" s="1">
        <f t="shared" si="167"/>
        <v>3.3137441215513968E+16</v>
      </c>
    </row>
    <row r="820" spans="1:17" x14ac:dyDescent="0.2">
      <c r="A820">
        <f t="shared" si="168"/>
        <v>819</v>
      </c>
      <c r="B820">
        <f t="shared" si="170"/>
        <v>176.47058823529412</v>
      </c>
      <c r="C820">
        <f t="shared" si="169"/>
        <v>819000</v>
      </c>
      <c r="E820" t="s">
        <v>14</v>
      </c>
      <c r="F820">
        <v>30.813002650000001</v>
      </c>
      <c r="G820">
        <v>43.429000000000002</v>
      </c>
      <c r="H820">
        <f t="shared" si="161"/>
        <v>0.70950292776716017</v>
      </c>
      <c r="I820">
        <v>532.04238750000002</v>
      </c>
      <c r="J820">
        <f t="shared" si="162"/>
        <v>749.88046796982644</v>
      </c>
      <c r="K820" s="1">
        <v>1.44E-6</v>
      </c>
      <c r="L820" s="1">
        <f t="shared" si="163"/>
        <v>119905.7505187424</v>
      </c>
      <c r="M820" s="1">
        <f t="shared" si="164"/>
        <v>1050374374.5441834</v>
      </c>
      <c r="N820">
        <f t="shared" si="165"/>
        <v>2810326286016.3511</v>
      </c>
      <c r="O820">
        <v>10.67138078</v>
      </c>
      <c r="P820" s="1">
        <f t="shared" si="166"/>
        <v>3.3697428252734048E+17</v>
      </c>
      <c r="Q820" s="1">
        <f t="shared" si="167"/>
        <v>3.1577383421542612E+16</v>
      </c>
    </row>
    <row r="821" spans="1:17" x14ac:dyDescent="0.2">
      <c r="A821">
        <f t="shared" si="168"/>
        <v>820</v>
      </c>
      <c r="B821">
        <f t="shared" si="170"/>
        <v>176.47058823529412</v>
      </c>
      <c r="C821">
        <f t="shared" si="169"/>
        <v>820000</v>
      </c>
      <c r="E821" t="s">
        <v>14</v>
      </c>
      <c r="F821">
        <v>31.157564359999999</v>
      </c>
      <c r="G821">
        <v>43.429000000000002</v>
      </c>
      <c r="H821">
        <f t="shared" si="161"/>
        <v>0.71743683621543197</v>
      </c>
      <c r="I821">
        <v>1271.6805979999999</v>
      </c>
      <c r="J821">
        <f t="shared" si="162"/>
        <v>1772.5331817477791</v>
      </c>
      <c r="K821" s="1">
        <v>1.3999999999999999E-6</v>
      </c>
      <c r="L821" s="1">
        <f t="shared" si="163"/>
        <v>126105.32541990811</v>
      </c>
      <c r="M821" s="1">
        <f t="shared" si="164"/>
        <v>1104682650.678395</v>
      </c>
      <c r="N821">
        <f t="shared" si="165"/>
        <v>2.1769472991757698E+29</v>
      </c>
      <c r="O821">
        <v>12.69768856</v>
      </c>
      <c r="P821" s="1">
        <f t="shared" si="166"/>
        <v>2.7452464758455051E+34</v>
      </c>
      <c r="Q821" s="1">
        <f t="shared" si="167"/>
        <v>2.1620048900029921E+33</v>
      </c>
    </row>
    <row r="822" spans="1:17" x14ac:dyDescent="0.2">
      <c r="A822">
        <f t="shared" si="168"/>
        <v>821</v>
      </c>
      <c r="B822">
        <f t="shared" si="170"/>
        <v>176.47058823529412</v>
      </c>
      <c r="C822">
        <f t="shared" si="169"/>
        <v>821000</v>
      </c>
      <c r="E822" t="s">
        <v>14</v>
      </c>
      <c r="F822">
        <v>31.12617157</v>
      </c>
      <c r="G822">
        <v>43.429000000000002</v>
      </c>
      <c r="H822">
        <f t="shared" si="161"/>
        <v>0.71671398305279876</v>
      </c>
      <c r="I822">
        <v>297.6174279</v>
      </c>
      <c r="J822">
        <f t="shared" si="162"/>
        <v>415.25271577975502</v>
      </c>
      <c r="K822" s="1">
        <v>1.3999999999999999E-6</v>
      </c>
      <c r="L822" s="1">
        <f t="shared" si="163"/>
        <v>125851.33870833485</v>
      </c>
      <c r="M822" s="1">
        <f t="shared" si="164"/>
        <v>1102457727.0850134</v>
      </c>
      <c r="N822">
        <f t="shared" si="165"/>
        <v>8363449.4871246442</v>
      </c>
      <c r="O822">
        <v>13.636709249999999</v>
      </c>
      <c r="P822" s="1">
        <f t="shared" si="166"/>
        <v>1052551314174.173</v>
      </c>
      <c r="Q822" s="1">
        <f t="shared" si="167"/>
        <v>77185140115.396469</v>
      </c>
    </row>
    <row r="823" spans="1:17" x14ac:dyDescent="0.2">
      <c r="A823">
        <f t="shared" si="168"/>
        <v>822</v>
      </c>
      <c r="B823">
        <f t="shared" si="170"/>
        <v>176.47058823529412</v>
      </c>
      <c r="C823">
        <f t="shared" si="169"/>
        <v>822000</v>
      </c>
      <c r="E823" t="s">
        <v>14</v>
      </c>
      <c r="F823">
        <v>30.978138529999999</v>
      </c>
      <c r="G823">
        <v>43.429000000000002</v>
      </c>
      <c r="H823">
        <f t="shared" si="161"/>
        <v>0.71330536116419896</v>
      </c>
      <c r="I823">
        <v>5433.7259590000003</v>
      </c>
      <c r="J823">
        <f t="shared" si="162"/>
        <v>7617.6715539211918</v>
      </c>
      <c r="K823" s="1">
        <v>1.42E-6</v>
      </c>
      <c r="L823" s="1">
        <f t="shared" si="163"/>
        <v>122901.37790499776</v>
      </c>
      <c r="M823" s="1">
        <f t="shared" si="164"/>
        <v>1076616070.4477804</v>
      </c>
      <c r="N823">
        <f t="shared" si="165"/>
        <v>7.4165678614769742E+125</v>
      </c>
      <c r="O823">
        <v>5.2957725059999996</v>
      </c>
      <c r="P823" s="1">
        <f t="shared" si="166"/>
        <v>9.1150640950144269E+130</v>
      </c>
      <c r="Q823" s="1">
        <f t="shared" si="167"/>
        <v>1.7211963098277447E+130</v>
      </c>
    </row>
    <row r="824" spans="1:17" x14ac:dyDescent="0.2">
      <c r="A824">
        <f t="shared" si="168"/>
        <v>823</v>
      </c>
      <c r="B824">
        <f t="shared" si="170"/>
        <v>176.47058823529412</v>
      </c>
      <c r="C824">
        <f t="shared" si="169"/>
        <v>823000</v>
      </c>
      <c r="E824" t="s">
        <v>14</v>
      </c>
      <c r="F824">
        <v>30.902267439999999</v>
      </c>
      <c r="G824">
        <v>43.429000000000002</v>
      </c>
      <c r="H824">
        <f t="shared" si="161"/>
        <v>0.71155834672684148</v>
      </c>
      <c r="I824">
        <v>297.6174279</v>
      </c>
      <c r="J824">
        <f t="shared" si="162"/>
        <v>418.26145286473843</v>
      </c>
      <c r="K824" s="1">
        <v>1.4300000000000001E-6</v>
      </c>
      <c r="L824" s="1">
        <f t="shared" si="163"/>
        <v>121444.85406520711</v>
      </c>
      <c r="M824" s="1">
        <f t="shared" si="164"/>
        <v>1063856921.6112143</v>
      </c>
      <c r="N824">
        <f t="shared" si="165"/>
        <v>9377232.3484764155</v>
      </c>
      <c r="O824">
        <v>5.73296837</v>
      </c>
      <c r="P824" s="1">
        <f t="shared" si="166"/>
        <v>1138816614096.2576</v>
      </c>
      <c r="Q824" s="1">
        <f t="shared" si="167"/>
        <v>198643449710.19919</v>
      </c>
    </row>
    <row r="825" spans="1:17" x14ac:dyDescent="0.2">
      <c r="A825">
        <f t="shared" si="168"/>
        <v>824</v>
      </c>
      <c r="B825">
        <f t="shared" si="170"/>
        <v>176.47058823529412</v>
      </c>
      <c r="C825">
        <f t="shared" si="169"/>
        <v>824000</v>
      </c>
      <c r="E825" t="s">
        <v>14</v>
      </c>
      <c r="F825">
        <v>31.333764939999998</v>
      </c>
      <c r="G825">
        <v>43.429000000000002</v>
      </c>
      <c r="H825">
        <f t="shared" si="161"/>
        <v>0.72149404637454229</v>
      </c>
      <c r="I825">
        <v>280.82099360000001</v>
      </c>
      <c r="J825">
        <f t="shared" si="162"/>
        <v>389.22149809981954</v>
      </c>
      <c r="K825" s="1">
        <v>1.37E-6</v>
      </c>
      <c r="L825" s="1">
        <f t="shared" si="163"/>
        <v>130328.397825687</v>
      </c>
      <c r="M825" s="1">
        <f t="shared" si="164"/>
        <v>1141676764.9530182</v>
      </c>
      <c r="N825">
        <f t="shared" si="165"/>
        <v>3107995.2512460798</v>
      </c>
      <c r="O825">
        <v>6.1055352799999998</v>
      </c>
      <c r="P825" s="1">
        <f t="shared" si="166"/>
        <v>405060041544.74512</v>
      </c>
      <c r="Q825" s="1">
        <f t="shared" si="167"/>
        <v>66343084261.851181</v>
      </c>
    </row>
    <row r="826" spans="1:17" x14ac:dyDescent="0.2">
      <c r="A826">
        <f t="shared" si="168"/>
        <v>825</v>
      </c>
      <c r="B826">
        <f t="shared" si="170"/>
        <v>176.47058823529412</v>
      </c>
      <c r="C826">
        <f t="shared" si="169"/>
        <v>825000</v>
      </c>
      <c r="E826" t="s">
        <v>14</v>
      </c>
      <c r="F826">
        <v>31.499118769999999</v>
      </c>
      <c r="G826">
        <v>43.429000000000002</v>
      </c>
      <c r="H826">
        <f t="shared" si="161"/>
        <v>0.72530149830758239</v>
      </c>
      <c r="I826">
        <v>280.82099360000001</v>
      </c>
      <c r="J826">
        <f t="shared" si="162"/>
        <v>387.17828965646339</v>
      </c>
      <c r="K826" s="1">
        <v>1.35E-6</v>
      </c>
      <c r="L826" s="1">
        <f t="shared" si="163"/>
        <v>133658.78249066506</v>
      </c>
      <c r="M826" s="1">
        <f t="shared" si="164"/>
        <v>1170850934.6182261</v>
      </c>
      <c r="N826">
        <f t="shared" si="165"/>
        <v>2875655.0960884118</v>
      </c>
      <c r="O826">
        <v>6.0599148420000004</v>
      </c>
      <c r="P826" s="1">
        <f t="shared" si="166"/>
        <v>384356559006.2536</v>
      </c>
      <c r="Q826" s="1">
        <f t="shared" si="167"/>
        <v>63426066046.730362</v>
      </c>
    </row>
    <row r="827" spans="1:17" x14ac:dyDescent="0.2">
      <c r="A827">
        <f t="shared" si="168"/>
        <v>826</v>
      </c>
      <c r="B827">
        <f t="shared" si="170"/>
        <v>176.47058823529412</v>
      </c>
      <c r="C827">
        <f t="shared" si="169"/>
        <v>826000</v>
      </c>
      <c r="E827" t="s">
        <v>14</v>
      </c>
      <c r="F827">
        <v>31.44576022</v>
      </c>
      <c r="G827">
        <v>43.429000000000002</v>
      </c>
      <c r="H827">
        <f t="shared" si="161"/>
        <v>0.72407285960993806</v>
      </c>
      <c r="I827">
        <v>297.6174279</v>
      </c>
      <c r="J827">
        <f t="shared" si="162"/>
        <v>411.03243126710771</v>
      </c>
      <c r="K827" s="1">
        <v>1.3599999999999999E-6</v>
      </c>
      <c r="L827" s="1">
        <f t="shared" si="163"/>
        <v>132226.87982803941</v>
      </c>
      <c r="M827" s="1">
        <f t="shared" si="164"/>
        <v>1158307467.2936254</v>
      </c>
      <c r="N827">
        <f t="shared" si="165"/>
        <v>7123403.0095086657</v>
      </c>
      <c r="O827">
        <v>6.1359489050000002</v>
      </c>
      <c r="P827" s="1">
        <f t="shared" si="166"/>
        <v>941905353704.99658</v>
      </c>
      <c r="Q827" s="1">
        <f t="shared" si="167"/>
        <v>153506062108.41589</v>
      </c>
    </row>
    <row r="828" spans="1:17" x14ac:dyDescent="0.2">
      <c r="A828">
        <f t="shared" si="168"/>
        <v>827</v>
      </c>
      <c r="B828">
        <f t="shared" si="170"/>
        <v>176.47058823529412</v>
      </c>
      <c r="C828">
        <f t="shared" si="169"/>
        <v>827000</v>
      </c>
      <c r="E828" t="s">
        <v>14</v>
      </c>
      <c r="F828">
        <v>30.876950820000001</v>
      </c>
      <c r="G828">
        <v>43.429000000000002</v>
      </c>
      <c r="H828">
        <f t="shared" si="161"/>
        <v>0.71097540399272374</v>
      </c>
      <c r="I828">
        <v>375.46850110000003</v>
      </c>
      <c r="J828">
        <f t="shared" si="162"/>
        <v>528.10336193267619</v>
      </c>
      <c r="K828" s="1">
        <v>1.4300000000000001E-6</v>
      </c>
      <c r="L828" s="1">
        <f t="shared" si="163"/>
        <v>121245.94867366263</v>
      </c>
      <c r="M828" s="1">
        <f t="shared" si="164"/>
        <v>1062114510.3812846</v>
      </c>
      <c r="N828">
        <f t="shared" si="165"/>
        <v>611099360.45032668</v>
      </c>
      <c r="O828">
        <v>6.0066909979999998</v>
      </c>
      <c r="P828" s="1">
        <f t="shared" si="166"/>
        <v>74093321691668.359</v>
      </c>
      <c r="Q828" s="1">
        <f t="shared" si="167"/>
        <v>12335131225551.41</v>
      </c>
    </row>
    <row r="829" spans="1:17" x14ac:dyDescent="0.2">
      <c r="A829">
        <f t="shared" si="168"/>
        <v>828</v>
      </c>
      <c r="B829">
        <f t="shared" si="170"/>
        <v>176.47058823529412</v>
      </c>
      <c r="C829">
        <f t="shared" si="169"/>
        <v>828000</v>
      </c>
      <c r="E829" t="s">
        <v>14</v>
      </c>
      <c r="F829">
        <v>30.466296180000001</v>
      </c>
      <c r="G829">
        <v>43.429000000000002</v>
      </c>
      <c r="H829">
        <f t="shared" si="161"/>
        <v>0.7015196338851919</v>
      </c>
      <c r="I829">
        <v>334.28426459999997</v>
      </c>
      <c r="J829">
        <f t="shared" si="162"/>
        <v>476.5144814959059</v>
      </c>
      <c r="K829" s="1">
        <v>1.4899999999999999E-6</v>
      </c>
      <c r="L829" s="1">
        <f t="shared" si="163"/>
        <v>113288.93978332879</v>
      </c>
      <c r="M829" s="1">
        <f t="shared" si="164"/>
        <v>992411112.50196028</v>
      </c>
      <c r="N829">
        <f t="shared" si="165"/>
        <v>85925565.079167411</v>
      </c>
      <c r="O829">
        <v>6.1435523109999997</v>
      </c>
      <c r="P829" s="1">
        <f t="shared" si="166"/>
        <v>9734416168102.2969</v>
      </c>
      <c r="Q829" s="1">
        <f t="shared" si="167"/>
        <v>1584493087276.7004</v>
      </c>
    </row>
    <row r="830" spans="1:17" x14ac:dyDescent="0.2">
      <c r="A830">
        <f t="shared" si="168"/>
        <v>829</v>
      </c>
      <c r="B830">
        <f t="shared" si="170"/>
        <v>176.47058823529412</v>
      </c>
      <c r="C830">
        <f t="shared" si="169"/>
        <v>829000</v>
      </c>
      <c r="E830" t="s">
        <v>14</v>
      </c>
      <c r="F830">
        <v>29.78096347</v>
      </c>
      <c r="G830">
        <v>43.429000000000002</v>
      </c>
      <c r="H830">
        <f t="shared" si="161"/>
        <v>0.68573910221280709</v>
      </c>
      <c r="I830">
        <v>446.95095679999997</v>
      </c>
      <c r="J830">
        <f t="shared" si="162"/>
        <v>651.77989027858666</v>
      </c>
      <c r="K830" s="1">
        <v>1.59E-6</v>
      </c>
      <c r="L830" s="1">
        <f t="shared" si="163"/>
        <v>101441.30433468174</v>
      </c>
      <c r="M830" s="1">
        <f t="shared" si="164"/>
        <v>888625825.97181201</v>
      </c>
      <c r="N830">
        <f t="shared" si="165"/>
        <v>67394967750.761765</v>
      </c>
      <c r="O830">
        <v>10.67138078</v>
      </c>
      <c r="P830" s="1">
        <f t="shared" si="166"/>
        <v>6836633434231086</v>
      </c>
      <c r="Q830" s="1">
        <f t="shared" si="167"/>
        <v>640651249840518.38</v>
      </c>
    </row>
    <row r="831" spans="1:17" x14ac:dyDescent="0.2">
      <c r="A831">
        <f t="shared" si="168"/>
        <v>830</v>
      </c>
      <c r="B831">
        <f t="shared" si="170"/>
        <v>176.47058823529412</v>
      </c>
      <c r="C831">
        <f t="shared" si="169"/>
        <v>830000</v>
      </c>
      <c r="E831" t="s">
        <v>14</v>
      </c>
      <c r="F831">
        <v>29.781210389999998</v>
      </c>
      <c r="G831">
        <v>43.429000000000002</v>
      </c>
      <c r="H831">
        <f t="shared" si="161"/>
        <v>0.68574478781459391</v>
      </c>
      <c r="I831">
        <v>3834.6436100000001</v>
      </c>
      <c r="J831">
        <f t="shared" si="162"/>
        <v>5591.939855963994</v>
      </c>
      <c r="K831" s="1">
        <v>1.59E-6</v>
      </c>
      <c r="L831" s="1">
        <f t="shared" si="163"/>
        <v>101442.98648245576</v>
      </c>
      <c r="M831" s="1">
        <f t="shared" si="164"/>
        <v>888640561.58631241</v>
      </c>
      <c r="N831">
        <f t="shared" si="165"/>
        <v>2.6018390470840428E+92</v>
      </c>
      <c r="O831">
        <v>11.19221411</v>
      </c>
      <c r="P831" s="1">
        <f t="shared" si="166"/>
        <v>2.6393832328287214E+97</v>
      </c>
      <c r="Q831" s="1">
        <f t="shared" si="167"/>
        <v>2.3582315410410975E+96</v>
      </c>
    </row>
    <row r="832" spans="1:17" x14ac:dyDescent="0.2">
      <c r="A832">
        <f t="shared" si="168"/>
        <v>831</v>
      </c>
      <c r="B832">
        <f t="shared" si="170"/>
        <v>176.47058823529412</v>
      </c>
      <c r="C832">
        <f t="shared" si="169"/>
        <v>831000</v>
      </c>
      <c r="E832" t="s">
        <v>14</v>
      </c>
      <c r="F832">
        <v>30.355000499999999</v>
      </c>
      <c r="G832">
        <v>43.429000000000002</v>
      </c>
      <c r="H832">
        <f t="shared" si="161"/>
        <v>0.69895692970135159</v>
      </c>
      <c r="I832">
        <v>3039.5539570000001</v>
      </c>
      <c r="J832">
        <f t="shared" si="162"/>
        <v>4348.6999382046797</v>
      </c>
      <c r="K832" s="1">
        <v>1.5E-6</v>
      </c>
      <c r="L832" s="1">
        <f t="shared" si="163"/>
        <v>111712.99388339752</v>
      </c>
      <c r="M832" s="1">
        <f t="shared" si="164"/>
        <v>978605826.41856229</v>
      </c>
      <c r="N832">
        <f t="shared" si="165"/>
        <v>7.641797969428909E+71</v>
      </c>
      <c r="O832">
        <v>7.1966240880000001</v>
      </c>
      <c r="P832" s="1">
        <f t="shared" si="166"/>
        <v>8.5368812981697122E+76</v>
      </c>
      <c r="Q832" s="1">
        <f t="shared" si="167"/>
        <v>1.1862341555958887E+76</v>
      </c>
    </row>
    <row r="833" spans="1:17" x14ac:dyDescent="0.2">
      <c r="A833">
        <f t="shared" si="168"/>
        <v>832</v>
      </c>
      <c r="B833">
        <f t="shared" si="170"/>
        <v>176.47058823529412</v>
      </c>
      <c r="C833">
        <f t="shared" si="169"/>
        <v>832000</v>
      </c>
      <c r="E833" t="s">
        <v>14</v>
      </c>
      <c r="F833">
        <v>29.98483985</v>
      </c>
      <c r="G833">
        <v>43.429000000000002</v>
      </c>
      <c r="H833">
        <f t="shared" si="161"/>
        <v>0.69043357779364012</v>
      </c>
      <c r="I833">
        <v>1199.911617</v>
      </c>
      <c r="J833">
        <f t="shared" si="162"/>
        <v>1737.9102865107684</v>
      </c>
      <c r="K833" s="1">
        <v>1.5600000000000001E-6</v>
      </c>
      <c r="L833" s="1">
        <f t="shared" si="163"/>
        <v>104812.5603803268</v>
      </c>
      <c r="M833" s="1">
        <f t="shared" si="164"/>
        <v>918158028.9316628</v>
      </c>
      <c r="N833">
        <f t="shared" si="165"/>
        <v>5.8351419241472463E+28</v>
      </c>
      <c r="O833">
        <v>7.4095194649999998</v>
      </c>
      <c r="P833" s="1">
        <f t="shared" si="166"/>
        <v>6.1159616525245958E+33</v>
      </c>
      <c r="Q833" s="1">
        <f t="shared" si="167"/>
        <v>8.2541947307302142E+32</v>
      </c>
    </row>
    <row r="834" spans="1:17" x14ac:dyDescent="0.2">
      <c r="A834">
        <f t="shared" si="168"/>
        <v>833</v>
      </c>
      <c r="B834">
        <f t="shared" si="170"/>
        <v>176.47058823529412</v>
      </c>
      <c r="C834">
        <f t="shared" si="169"/>
        <v>833000</v>
      </c>
      <c r="E834" t="s">
        <v>14</v>
      </c>
      <c r="F834">
        <v>30.003209980000001</v>
      </c>
      <c r="G834">
        <v>43.429000000000002</v>
      </c>
      <c r="H834">
        <f t="shared" si="161"/>
        <v>0.69085657003384837</v>
      </c>
      <c r="I834">
        <v>532.04238750000002</v>
      </c>
      <c r="J834">
        <f t="shared" si="162"/>
        <v>770.11989257615767</v>
      </c>
      <c r="K834" s="1">
        <v>1.55E-6</v>
      </c>
      <c r="L834" s="1">
        <f t="shared" si="163"/>
        <v>105618.06485362211</v>
      </c>
      <c r="M834" s="1">
        <f t="shared" si="164"/>
        <v>925214248.11772966</v>
      </c>
      <c r="N834">
        <f t="shared" si="165"/>
        <v>6067509692708.2432</v>
      </c>
      <c r="O834">
        <v>8.0139902680000006</v>
      </c>
      <c r="P834" s="1">
        <f t="shared" si="166"/>
        <v>6.4083863222444006E+17</v>
      </c>
      <c r="Q834" s="1">
        <f t="shared" si="167"/>
        <v>7.9964987577202288E+16</v>
      </c>
    </row>
    <row r="835" spans="1:17" x14ac:dyDescent="0.2">
      <c r="A835">
        <f t="shared" si="168"/>
        <v>834</v>
      </c>
      <c r="B835">
        <f t="shared" si="170"/>
        <v>176.47058823529412</v>
      </c>
      <c r="C835">
        <f t="shared" si="169"/>
        <v>834000</v>
      </c>
      <c r="E835" t="s">
        <v>14</v>
      </c>
      <c r="F835">
        <v>30.016039459999998</v>
      </c>
      <c r="G835">
        <v>43.429000000000002</v>
      </c>
      <c r="H835">
        <f t="shared" ref="H835:H898" si="171">F835/43.429</f>
        <v>0.69115198277648571</v>
      </c>
      <c r="I835">
        <v>375.46850110000003</v>
      </c>
      <c r="J835">
        <f t="shared" ref="J835:J898" si="172">I835/H835</f>
        <v>543.25026977666096</v>
      </c>
      <c r="K835" s="1">
        <v>1.55E-6</v>
      </c>
      <c r="L835" s="1">
        <f t="shared" ref="L835:L898" si="173">((H835^2)*0.343)/(K835)</f>
        <v>105708.40949063393</v>
      </c>
      <c r="M835" s="1">
        <f t="shared" ref="M835:M898" si="174">L835*8760</f>
        <v>926005667.13795328</v>
      </c>
      <c r="N835">
        <f t="shared" ref="N835:N898" si="175">EXP((J835+3.9052)/(26.297))</f>
        <v>1087083088.9320197</v>
      </c>
      <c r="O835">
        <v>8.2915145989999992</v>
      </c>
      <c r="P835" s="1">
        <f t="shared" ref="P835:P898" si="176">L835*N835</f>
        <v>114913824315169.16</v>
      </c>
      <c r="Q835" s="1">
        <f t="shared" ref="Q835:Q898" si="177">P835/O835</f>
        <v>13859207861616.547</v>
      </c>
    </row>
    <row r="836" spans="1:17" x14ac:dyDescent="0.2">
      <c r="A836">
        <f t="shared" ref="A836:A899" si="178">A835+1</f>
        <v>835</v>
      </c>
      <c r="B836">
        <f t="shared" si="170"/>
        <v>176.47058823529412</v>
      </c>
      <c r="C836">
        <f t="shared" ref="C836:C899" si="179">C835+1000</f>
        <v>835000</v>
      </c>
      <c r="E836" t="s">
        <v>14</v>
      </c>
      <c r="F836">
        <v>29.871874550000001</v>
      </c>
      <c r="G836">
        <v>43.429000000000002</v>
      </c>
      <c r="H836">
        <f t="shared" si="171"/>
        <v>0.68783242879182116</v>
      </c>
      <c r="I836">
        <v>563.86484810000002</v>
      </c>
      <c r="J836">
        <f t="shared" si="172"/>
        <v>819.77066578618519</v>
      </c>
      <c r="K836" s="1">
        <v>1.57E-6</v>
      </c>
      <c r="L836" s="1">
        <f t="shared" si="173"/>
        <v>103361.72826974263</v>
      </c>
      <c r="M836" s="1">
        <f t="shared" si="174"/>
        <v>905448739.64294541</v>
      </c>
      <c r="N836">
        <f t="shared" si="175"/>
        <v>40085943046645.203</v>
      </c>
      <c r="O836">
        <v>8.6146593669999998</v>
      </c>
      <c r="P836" s="1">
        <f t="shared" si="176"/>
        <v>4.1433523526237204E+18</v>
      </c>
      <c r="Q836" s="1">
        <f t="shared" si="177"/>
        <v>4.8096531460031674E+17</v>
      </c>
    </row>
    <row r="837" spans="1:17" x14ac:dyDescent="0.2">
      <c r="A837">
        <f t="shared" si="178"/>
        <v>836</v>
      </c>
      <c r="B837">
        <f t="shared" si="170"/>
        <v>176.47058823529412</v>
      </c>
      <c r="C837">
        <f t="shared" si="179"/>
        <v>836000</v>
      </c>
      <c r="E837" t="s">
        <v>14</v>
      </c>
      <c r="F837">
        <v>29.817257980000001</v>
      </c>
      <c r="G837">
        <v>43.429000000000002</v>
      </c>
      <c r="H837">
        <f t="shared" si="171"/>
        <v>0.68657482281424853</v>
      </c>
      <c r="I837">
        <v>375.46850110000003</v>
      </c>
      <c r="J837">
        <f t="shared" si="172"/>
        <v>546.87193387163029</v>
      </c>
      <c r="K837" s="1">
        <v>1.5799999999999999E-6</v>
      </c>
      <c r="L837" s="1">
        <f t="shared" si="173"/>
        <v>102332.31053898035</v>
      </c>
      <c r="M837" s="1">
        <f t="shared" si="174"/>
        <v>896431040.32146788</v>
      </c>
      <c r="N837">
        <f t="shared" si="175"/>
        <v>1247597388.8197725</v>
      </c>
      <c r="O837">
        <v>8.5994525549999992</v>
      </c>
      <c r="P837" s="1">
        <f t="shared" si="176"/>
        <v>127669523420325.97</v>
      </c>
      <c r="Q837" s="1">
        <f t="shared" si="177"/>
        <v>14846238478994.199</v>
      </c>
    </row>
    <row r="838" spans="1:17" x14ac:dyDescent="0.2">
      <c r="A838">
        <f t="shared" si="178"/>
        <v>837</v>
      </c>
      <c r="B838">
        <f t="shared" si="170"/>
        <v>176.47058823529412</v>
      </c>
      <c r="C838">
        <f t="shared" si="179"/>
        <v>837000</v>
      </c>
      <c r="E838" t="s">
        <v>14</v>
      </c>
      <c r="F838">
        <v>29.72147597</v>
      </c>
      <c r="G838">
        <v>43.429000000000002</v>
      </c>
      <c r="H838">
        <f t="shared" si="171"/>
        <v>0.684369337769693</v>
      </c>
      <c r="I838">
        <v>2273.3479900000002</v>
      </c>
      <c r="J838">
        <f t="shared" si="172"/>
        <v>3321.8145006447344</v>
      </c>
      <c r="K838" s="1">
        <v>1.59E-6</v>
      </c>
      <c r="L838" s="1">
        <f t="shared" si="173"/>
        <v>101036.45090214438</v>
      </c>
      <c r="M838" s="1">
        <f t="shared" si="174"/>
        <v>885079309.90278482</v>
      </c>
      <c r="N838">
        <f t="shared" si="175"/>
        <v>8.3984864277387997E+54</v>
      </c>
      <c r="O838">
        <v>8.1508515819999996</v>
      </c>
      <c r="P838" s="1">
        <f t="shared" si="176"/>
        <v>8.4855326160855723E+59</v>
      </c>
      <c r="Q838" s="1">
        <f t="shared" si="177"/>
        <v>1.0410608671644407E+59</v>
      </c>
    </row>
    <row r="839" spans="1:17" x14ac:dyDescent="0.2">
      <c r="A839">
        <f t="shared" si="178"/>
        <v>838</v>
      </c>
      <c r="B839">
        <f t="shared" si="170"/>
        <v>176.47058823529412</v>
      </c>
      <c r="C839">
        <f t="shared" si="179"/>
        <v>838000</v>
      </c>
      <c r="E839" t="s">
        <v>14</v>
      </c>
      <c r="F839">
        <v>29.676200819999998</v>
      </c>
      <c r="G839">
        <v>43.429000000000002</v>
      </c>
      <c r="H839">
        <f t="shared" si="171"/>
        <v>0.68332682815630097</v>
      </c>
      <c r="I839">
        <v>2553.4272850000002</v>
      </c>
      <c r="J839">
        <f t="shared" si="172"/>
        <v>3736.7584291830867</v>
      </c>
      <c r="K839" s="1">
        <v>1.5999999999999999E-6</v>
      </c>
      <c r="L839" s="1">
        <f t="shared" si="173"/>
        <v>100099.30940550361</v>
      </c>
      <c r="M839" s="1">
        <f t="shared" si="174"/>
        <v>876869950.39221156</v>
      </c>
      <c r="N839">
        <f t="shared" si="175"/>
        <v>5.9840131533003693E+61</v>
      </c>
      <c r="O839">
        <v>8.2763077860000003</v>
      </c>
      <c r="P839" s="1">
        <f t="shared" si="176"/>
        <v>5.9899558411881696E+66</v>
      </c>
      <c r="Q839" s="1">
        <f t="shared" si="177"/>
        <v>7.237473516053417E+65</v>
      </c>
    </row>
    <row r="840" spans="1:17" x14ac:dyDescent="0.2">
      <c r="A840">
        <f t="shared" si="178"/>
        <v>839</v>
      </c>
      <c r="B840">
        <f t="shared" si="170"/>
        <v>176.47058823529412</v>
      </c>
      <c r="C840">
        <f t="shared" si="179"/>
        <v>839000</v>
      </c>
      <c r="E840" t="s">
        <v>14</v>
      </c>
      <c r="F840">
        <v>30.212981920000001</v>
      </c>
      <c r="G840">
        <v>43.429000000000002</v>
      </c>
      <c r="H840">
        <f t="shared" si="171"/>
        <v>0.69568679730134242</v>
      </c>
      <c r="I840">
        <v>421.72668670000002</v>
      </c>
      <c r="J840">
        <f t="shared" si="172"/>
        <v>606.20194078129907</v>
      </c>
      <c r="K840" s="1">
        <v>1.5200000000000001E-6</v>
      </c>
      <c r="L840" s="1">
        <f t="shared" si="173"/>
        <v>109213.93496000914</v>
      </c>
      <c r="M840" s="1">
        <f t="shared" si="174"/>
        <v>956714070.24968004</v>
      </c>
      <c r="N840">
        <f t="shared" si="175"/>
        <v>11909909292.727375</v>
      </c>
      <c r="O840">
        <v>8.8693734790000001</v>
      </c>
      <c r="P840" s="1">
        <f t="shared" si="176"/>
        <v>1300728058875536</v>
      </c>
      <c r="Q840" s="1">
        <f t="shared" si="177"/>
        <v>146653882819938.47</v>
      </c>
    </row>
    <row r="841" spans="1:17" x14ac:dyDescent="0.2">
      <c r="A841">
        <f t="shared" si="178"/>
        <v>840</v>
      </c>
      <c r="B841">
        <f t="shared" si="170"/>
        <v>176.47058823529412</v>
      </c>
      <c r="C841">
        <f t="shared" si="179"/>
        <v>840000</v>
      </c>
      <c r="E841" t="s">
        <v>14</v>
      </c>
      <c r="F841">
        <v>29.790788639999999</v>
      </c>
      <c r="G841">
        <v>43.429000000000002</v>
      </c>
      <c r="H841">
        <f t="shared" si="171"/>
        <v>0.68596533744732779</v>
      </c>
      <c r="I841">
        <v>334.28426459999997</v>
      </c>
      <c r="J841">
        <f t="shared" si="172"/>
        <v>487.31946987870674</v>
      </c>
      <c r="K841" s="1">
        <v>1.5799999999999999E-6</v>
      </c>
      <c r="L841" s="1">
        <f t="shared" si="173"/>
        <v>102150.70655283207</v>
      </c>
      <c r="M841" s="1">
        <f t="shared" si="174"/>
        <v>894840189.4028089</v>
      </c>
      <c r="N841">
        <f t="shared" si="175"/>
        <v>129588536.63235432</v>
      </c>
      <c r="O841">
        <v>8.9416058389999993</v>
      </c>
      <c r="P841" s="1">
        <f t="shared" si="176"/>
        <v>13237560578142.555</v>
      </c>
      <c r="Q841" s="1">
        <f t="shared" si="177"/>
        <v>1480445550440.7473</v>
      </c>
    </row>
    <row r="842" spans="1:17" x14ac:dyDescent="0.2">
      <c r="A842">
        <f t="shared" si="178"/>
        <v>841</v>
      </c>
      <c r="B842">
        <f t="shared" si="170"/>
        <v>176.47058823529412</v>
      </c>
      <c r="C842">
        <f t="shared" si="179"/>
        <v>841000</v>
      </c>
      <c r="E842" t="s">
        <v>14</v>
      </c>
      <c r="F842">
        <v>29.84881421</v>
      </c>
      <c r="G842">
        <v>43.429000000000002</v>
      </c>
      <c r="H842">
        <f t="shared" si="171"/>
        <v>0.6873014393607958</v>
      </c>
      <c r="I842">
        <v>1008.005486</v>
      </c>
      <c r="J842">
        <f t="shared" si="172"/>
        <v>1466.613378458025</v>
      </c>
      <c r="K842" s="1">
        <v>1.5799999999999999E-6</v>
      </c>
      <c r="L842" s="1">
        <f t="shared" si="173"/>
        <v>102549.02602010485</v>
      </c>
      <c r="M842" s="1">
        <f t="shared" si="174"/>
        <v>898329467.93611848</v>
      </c>
      <c r="N842">
        <f t="shared" si="175"/>
        <v>1.9301358078900723E+24</v>
      </c>
      <c r="O842">
        <v>8.648874696</v>
      </c>
      <c r="P842" s="1">
        <f t="shared" si="176"/>
        <v>1.9793354718565513E+29</v>
      </c>
      <c r="Q842" s="1">
        <f t="shared" si="177"/>
        <v>2.2885468242151431E+28</v>
      </c>
    </row>
    <row r="843" spans="1:17" x14ac:dyDescent="0.2">
      <c r="A843">
        <f t="shared" si="178"/>
        <v>842</v>
      </c>
      <c r="B843">
        <f t="shared" si="170"/>
        <v>176.47058823529412</v>
      </c>
      <c r="C843">
        <f t="shared" si="179"/>
        <v>842000</v>
      </c>
      <c r="E843" t="s">
        <v>14</v>
      </c>
      <c r="F843">
        <v>29.726403009999999</v>
      </c>
      <c r="G843">
        <v>43.429000000000002</v>
      </c>
      <c r="H843">
        <f t="shared" si="171"/>
        <v>0.6844827882290635</v>
      </c>
      <c r="I843">
        <v>421.72668670000002</v>
      </c>
      <c r="J843">
        <f t="shared" si="172"/>
        <v>616.12460379189019</v>
      </c>
      <c r="K843" s="1">
        <v>1.59E-6</v>
      </c>
      <c r="L843" s="1">
        <f t="shared" si="173"/>
        <v>101069.95205784198</v>
      </c>
      <c r="M843" s="1">
        <f t="shared" si="174"/>
        <v>885372780.02669573</v>
      </c>
      <c r="N843">
        <f t="shared" si="175"/>
        <v>17369249553.738247</v>
      </c>
      <c r="O843">
        <v>8.945407543</v>
      </c>
      <c r="P843" s="1">
        <f t="shared" si="176"/>
        <v>1755509219677017.8</v>
      </c>
      <c r="Q843" s="1">
        <f t="shared" si="177"/>
        <v>196246980502386</v>
      </c>
    </row>
    <row r="844" spans="1:17" x14ac:dyDescent="0.2">
      <c r="A844">
        <f t="shared" si="178"/>
        <v>843</v>
      </c>
      <c r="B844">
        <f t="shared" si="170"/>
        <v>176.47058823529412</v>
      </c>
      <c r="C844">
        <f t="shared" si="179"/>
        <v>843000</v>
      </c>
      <c r="E844" t="s">
        <v>14</v>
      </c>
      <c r="F844">
        <v>30.269268629999999</v>
      </c>
      <c r="G844">
        <v>43.429000000000002</v>
      </c>
      <c r="H844">
        <f t="shared" si="171"/>
        <v>0.69698286007045973</v>
      </c>
      <c r="I844">
        <v>532.04238750000002</v>
      </c>
      <c r="J844">
        <f t="shared" si="172"/>
        <v>763.35074788813961</v>
      </c>
      <c r="K844" s="1">
        <v>1.5099999999999999E-6</v>
      </c>
      <c r="L844" s="1">
        <f t="shared" si="173"/>
        <v>110347.21309971876</v>
      </c>
      <c r="M844" s="1">
        <f t="shared" si="174"/>
        <v>966641586.75353634</v>
      </c>
      <c r="N844">
        <f t="shared" si="175"/>
        <v>4690489585730.0371</v>
      </c>
      <c r="O844">
        <v>7.1700121650000002</v>
      </c>
      <c r="P844" s="1">
        <f t="shared" si="176"/>
        <v>5.1758245385856397E+17</v>
      </c>
      <c r="Q844" s="1">
        <f t="shared" si="177"/>
        <v>7.2187109581921328E+16</v>
      </c>
    </row>
    <row r="845" spans="1:17" x14ac:dyDescent="0.2">
      <c r="A845">
        <f t="shared" si="178"/>
        <v>844</v>
      </c>
      <c r="B845">
        <f t="shared" si="170"/>
        <v>176.47058823529412</v>
      </c>
      <c r="C845">
        <f t="shared" si="179"/>
        <v>844000</v>
      </c>
      <c r="E845" t="s">
        <v>14</v>
      </c>
      <c r="F845">
        <v>29.526247829999999</v>
      </c>
      <c r="G845">
        <v>43.429000000000002</v>
      </c>
      <c r="H845">
        <f t="shared" si="171"/>
        <v>0.67987399732897369</v>
      </c>
      <c r="I845">
        <v>375.46850110000003</v>
      </c>
      <c r="J845">
        <f t="shared" si="172"/>
        <v>552.26189349071456</v>
      </c>
      <c r="K845" s="1">
        <v>1.6199999999999999E-6</v>
      </c>
      <c r="L845" s="1">
        <f t="shared" si="173"/>
        <v>97866.930691184287</v>
      </c>
      <c r="M845" s="1">
        <f t="shared" si="174"/>
        <v>857314312.85477436</v>
      </c>
      <c r="N845">
        <f t="shared" si="175"/>
        <v>1531403175.3452506</v>
      </c>
      <c r="O845">
        <v>7.0027372259999998</v>
      </c>
      <c r="P845" s="1">
        <f t="shared" si="176"/>
        <v>149873728421773.19</v>
      </c>
      <c r="Q845" s="1">
        <f t="shared" si="177"/>
        <v>21402163694693.117</v>
      </c>
    </row>
    <row r="846" spans="1:17" x14ac:dyDescent="0.2">
      <c r="A846">
        <f t="shared" si="178"/>
        <v>845</v>
      </c>
      <c r="B846">
        <f t="shared" si="170"/>
        <v>176.47058823529412</v>
      </c>
      <c r="C846">
        <f t="shared" si="179"/>
        <v>845000</v>
      </c>
      <c r="E846" t="s">
        <v>14</v>
      </c>
      <c r="F846">
        <v>29.991075590000001</v>
      </c>
      <c r="G846">
        <v>43.429000000000002</v>
      </c>
      <c r="H846">
        <f t="shared" si="171"/>
        <v>0.69057716249510692</v>
      </c>
      <c r="I846">
        <v>532.04238750000002</v>
      </c>
      <c r="J846">
        <f t="shared" si="172"/>
        <v>770.43148310565482</v>
      </c>
      <c r="K846" s="1">
        <v>1.55E-6</v>
      </c>
      <c r="L846" s="1">
        <f t="shared" si="173"/>
        <v>105532.65055123169</v>
      </c>
      <c r="M846" s="1">
        <f t="shared" si="174"/>
        <v>924466018.82878959</v>
      </c>
      <c r="N846">
        <f t="shared" si="175"/>
        <v>6139830625362.5654</v>
      </c>
      <c r="O846">
        <v>9.8844282240000005</v>
      </c>
      <c r="P846" s="1">
        <f t="shared" si="176"/>
        <v>6.4795259983013798E+17</v>
      </c>
      <c r="Q846" s="1">
        <f t="shared" si="177"/>
        <v>6.5552866098705552E+16</v>
      </c>
    </row>
    <row r="847" spans="1:17" x14ac:dyDescent="0.2">
      <c r="A847">
        <f t="shared" si="178"/>
        <v>846</v>
      </c>
      <c r="B847">
        <f t="shared" si="170"/>
        <v>176.47058823529412</v>
      </c>
      <c r="C847">
        <f t="shared" si="179"/>
        <v>846000</v>
      </c>
      <c r="E847" t="s">
        <v>14</v>
      </c>
      <c r="F847">
        <v>29.991809969999998</v>
      </c>
      <c r="G847">
        <v>43.429000000000002</v>
      </c>
      <c r="H847">
        <f t="shared" si="171"/>
        <v>0.69059407239402237</v>
      </c>
      <c r="I847">
        <v>1347.7422180000001</v>
      </c>
      <c r="J847">
        <f t="shared" si="172"/>
        <v>1951.5693398987619</v>
      </c>
      <c r="K847" s="1">
        <v>1.55E-6</v>
      </c>
      <c r="L847" s="1">
        <f t="shared" si="173"/>
        <v>105537.81888982952</v>
      </c>
      <c r="M847" s="1">
        <f t="shared" si="174"/>
        <v>924511293.47490656</v>
      </c>
      <c r="N847">
        <f t="shared" si="175"/>
        <v>1.970728723123184E+32</v>
      </c>
      <c r="O847">
        <v>11.80428832</v>
      </c>
      <c r="P847" s="1">
        <f t="shared" si="176"/>
        <v>2.0798641106195958E+37</v>
      </c>
      <c r="Q847" s="1">
        <f t="shared" si="177"/>
        <v>1.7619563791030783E+36</v>
      </c>
    </row>
    <row r="848" spans="1:17" x14ac:dyDescent="0.2">
      <c r="A848">
        <f t="shared" si="178"/>
        <v>847</v>
      </c>
      <c r="B848">
        <f t="shared" si="170"/>
        <v>176.47058823529412</v>
      </c>
      <c r="C848">
        <f t="shared" si="179"/>
        <v>847000</v>
      </c>
      <c r="E848" t="s">
        <v>14</v>
      </c>
      <c r="F848">
        <v>30.130884720000001</v>
      </c>
      <c r="G848">
        <v>43.429000000000002</v>
      </c>
      <c r="H848">
        <f t="shared" si="171"/>
        <v>0.69379641990375096</v>
      </c>
      <c r="I848">
        <v>421.72668670000002</v>
      </c>
      <c r="J848">
        <f t="shared" si="172"/>
        <v>607.85365072726279</v>
      </c>
      <c r="K848" s="1">
        <v>1.53E-6</v>
      </c>
      <c r="L848" s="1">
        <f t="shared" si="173"/>
        <v>107911.26862028944</v>
      </c>
      <c r="M848" s="1">
        <f t="shared" si="174"/>
        <v>945302713.11373544</v>
      </c>
      <c r="N848">
        <f t="shared" si="175"/>
        <v>12681961017.641373</v>
      </c>
      <c r="O848">
        <v>12.442974449999999</v>
      </c>
      <c r="P848" s="1">
        <f t="shared" si="176"/>
        <v>1368526502006737.5</v>
      </c>
      <c r="Q848" s="1">
        <f t="shared" si="177"/>
        <v>109983871421253.11</v>
      </c>
    </row>
    <row r="849" spans="1:17" x14ac:dyDescent="0.2">
      <c r="A849">
        <f t="shared" si="178"/>
        <v>848</v>
      </c>
      <c r="B849">
        <f t="shared" si="170"/>
        <v>176.47058823529412</v>
      </c>
      <c r="C849">
        <f t="shared" si="179"/>
        <v>848000</v>
      </c>
      <c r="E849" t="s">
        <v>14</v>
      </c>
      <c r="F849">
        <v>30.530147500000002</v>
      </c>
      <c r="G849">
        <v>43.429000000000002</v>
      </c>
      <c r="H849">
        <f t="shared" si="171"/>
        <v>0.70298988003407858</v>
      </c>
      <c r="I849">
        <v>354.27843819999998</v>
      </c>
      <c r="J849">
        <f t="shared" si="172"/>
        <v>503.95951387355075</v>
      </c>
      <c r="K849" s="1">
        <v>1.48E-6</v>
      </c>
      <c r="L849" s="1">
        <f t="shared" si="173"/>
        <v>114532.97743283957</v>
      </c>
      <c r="M849" s="1">
        <f t="shared" si="174"/>
        <v>1003308882.3116746</v>
      </c>
      <c r="N849">
        <f t="shared" si="175"/>
        <v>243992576.3800295</v>
      </c>
      <c r="O849">
        <v>12.08941606</v>
      </c>
      <c r="P849" s="1">
        <f t="shared" si="176"/>
        <v>27945196244314.305</v>
      </c>
      <c r="Q849" s="1">
        <f t="shared" si="177"/>
        <v>2311542270166.0503</v>
      </c>
    </row>
    <row r="850" spans="1:17" x14ac:dyDescent="0.2">
      <c r="A850">
        <f t="shared" si="178"/>
        <v>849</v>
      </c>
      <c r="B850">
        <f t="shared" si="170"/>
        <v>176.47058823529412</v>
      </c>
      <c r="C850">
        <f t="shared" si="179"/>
        <v>849000</v>
      </c>
      <c r="E850" t="s">
        <v>14</v>
      </c>
      <c r="F850">
        <v>30.825566999999999</v>
      </c>
      <c r="G850">
        <v>43.429000000000002</v>
      </c>
      <c r="H850">
        <f t="shared" si="171"/>
        <v>0.70979223560293814</v>
      </c>
      <c r="I850">
        <v>250.01841450000001</v>
      </c>
      <c r="J850">
        <f t="shared" si="172"/>
        <v>352.24168701651132</v>
      </c>
      <c r="K850" s="1">
        <v>1.44E-6</v>
      </c>
      <c r="L850" s="1">
        <f t="shared" si="173"/>
        <v>120003.55630466694</v>
      </c>
      <c r="M850" s="1">
        <f t="shared" si="174"/>
        <v>1051231153.2288824</v>
      </c>
      <c r="N850">
        <f t="shared" si="175"/>
        <v>761656.98946303618</v>
      </c>
      <c r="O850">
        <v>11.34428224</v>
      </c>
      <c r="P850" s="1">
        <f t="shared" si="176"/>
        <v>91401547419.870575</v>
      </c>
      <c r="Q850" s="1">
        <f t="shared" si="177"/>
        <v>8057058656.1737881</v>
      </c>
    </row>
    <row r="851" spans="1:17" x14ac:dyDescent="0.2">
      <c r="A851">
        <f t="shared" si="178"/>
        <v>850</v>
      </c>
      <c r="B851">
        <f>3000/17</f>
        <v>176.47058823529412</v>
      </c>
      <c r="C851">
        <f t="shared" si="179"/>
        <v>850000</v>
      </c>
      <c r="E851" t="s">
        <v>14</v>
      </c>
      <c r="F851">
        <v>30.955662709999999</v>
      </c>
      <c r="G851">
        <v>43.429000000000002</v>
      </c>
      <c r="H851">
        <f t="shared" si="171"/>
        <v>0.71278783094245779</v>
      </c>
      <c r="I851">
        <v>671.21458289999998</v>
      </c>
      <c r="J851">
        <f t="shared" si="172"/>
        <v>941.6751433768319</v>
      </c>
      <c r="K851" s="1">
        <v>1.42E-6</v>
      </c>
      <c r="L851" s="1">
        <f t="shared" si="173"/>
        <v>122723.1033347192</v>
      </c>
      <c r="M851" s="1">
        <f t="shared" si="174"/>
        <v>1075054385.2121401</v>
      </c>
      <c r="N851">
        <f t="shared" si="175"/>
        <v>4132780687600139</v>
      </c>
      <c r="O851">
        <v>11.59519465</v>
      </c>
      <c r="P851" s="1">
        <f t="shared" si="176"/>
        <v>5.0718767138408373E+20</v>
      </c>
      <c r="Q851" s="1">
        <f t="shared" si="177"/>
        <v>4.3741195097926517E+19</v>
      </c>
    </row>
    <row r="852" spans="1:17" x14ac:dyDescent="0.2">
      <c r="A852">
        <f t="shared" si="178"/>
        <v>851</v>
      </c>
      <c r="B852">
        <f t="shared" ref="B852:B900" si="180">3000/17</f>
        <v>176.47058823529412</v>
      </c>
      <c r="C852">
        <f t="shared" si="179"/>
        <v>851000</v>
      </c>
      <c r="E852" t="s">
        <v>14</v>
      </c>
      <c r="F852">
        <v>31.26897597</v>
      </c>
      <c r="G852">
        <v>43.429000000000002</v>
      </c>
      <c r="H852">
        <f t="shared" si="171"/>
        <v>0.72000220981371887</v>
      </c>
      <c r="I852">
        <v>375.46850110000003</v>
      </c>
      <c r="J852">
        <f t="shared" si="172"/>
        <v>521.48242877913162</v>
      </c>
      <c r="K852" s="1">
        <v>1.3799999999999999E-6</v>
      </c>
      <c r="L852" s="1">
        <f t="shared" si="173"/>
        <v>128849.48657454131</v>
      </c>
      <c r="M852" s="1">
        <f t="shared" si="174"/>
        <v>1128721502.392982</v>
      </c>
      <c r="N852">
        <f t="shared" si="175"/>
        <v>475080535.45936263</v>
      </c>
      <c r="O852">
        <v>11.94875304</v>
      </c>
      <c r="P852" s="1">
        <f t="shared" si="176"/>
        <v>61213883075497.039</v>
      </c>
      <c r="Q852" s="1">
        <f t="shared" si="177"/>
        <v>5123035254856.7725</v>
      </c>
    </row>
    <row r="853" spans="1:17" x14ac:dyDescent="0.2">
      <c r="A853">
        <f t="shared" si="178"/>
        <v>852</v>
      </c>
      <c r="B853">
        <f t="shared" si="180"/>
        <v>176.47058823529412</v>
      </c>
      <c r="C853">
        <f t="shared" si="179"/>
        <v>852000</v>
      </c>
      <c r="E853" t="s">
        <v>14</v>
      </c>
      <c r="F853">
        <v>31.094653170000001</v>
      </c>
      <c r="G853">
        <v>43.429000000000002</v>
      </c>
      <c r="H853">
        <f t="shared" si="171"/>
        <v>0.71598823758318175</v>
      </c>
      <c r="I853">
        <v>264.97248830000001</v>
      </c>
      <c r="J853">
        <f t="shared" si="172"/>
        <v>370.07938732962236</v>
      </c>
      <c r="K853" s="1">
        <v>1.3999999999999999E-6</v>
      </c>
      <c r="L853" s="1">
        <f t="shared" si="173"/>
        <v>125596.59330758033</v>
      </c>
      <c r="M853" s="1">
        <f t="shared" si="174"/>
        <v>1100226157.3744037</v>
      </c>
      <c r="N853">
        <f t="shared" si="175"/>
        <v>1500889.5422206291</v>
      </c>
      <c r="O853">
        <v>5.1132907540000003</v>
      </c>
      <c r="P853" s="1">
        <f t="shared" si="176"/>
        <v>188506613433.88477</v>
      </c>
      <c r="Q853" s="1">
        <f t="shared" si="177"/>
        <v>36866007137.65802</v>
      </c>
    </row>
    <row r="854" spans="1:17" x14ac:dyDescent="0.2">
      <c r="A854">
        <f t="shared" si="178"/>
        <v>853</v>
      </c>
      <c r="B854">
        <f t="shared" si="180"/>
        <v>176.47058823529412</v>
      </c>
      <c r="C854">
        <f t="shared" si="179"/>
        <v>853000</v>
      </c>
      <c r="E854" t="s">
        <v>14</v>
      </c>
      <c r="F854">
        <v>31.114557359999999</v>
      </c>
      <c r="G854">
        <v>43.429000000000002</v>
      </c>
      <c r="H854">
        <f t="shared" si="171"/>
        <v>0.71644655322480366</v>
      </c>
      <c r="I854">
        <v>473.68393809999998</v>
      </c>
      <c r="J854">
        <f t="shared" si="172"/>
        <v>661.15739683287916</v>
      </c>
      <c r="K854" s="1">
        <v>1.3999999999999999E-6</v>
      </c>
      <c r="L854" s="1">
        <f t="shared" si="173"/>
        <v>125757.43758878685</v>
      </c>
      <c r="M854" s="1">
        <f t="shared" si="174"/>
        <v>1101635153.2777729</v>
      </c>
      <c r="N854">
        <f t="shared" si="175"/>
        <v>96271296790.041199</v>
      </c>
      <c r="O854">
        <v>5.1703163019999998</v>
      </c>
      <c r="P854" s="1">
        <f t="shared" si="176"/>
        <v>1.2106831597665182E+16</v>
      </c>
      <c r="Q854" s="1">
        <f t="shared" si="177"/>
        <v>2341603664166924.5</v>
      </c>
    </row>
    <row r="855" spans="1:17" x14ac:dyDescent="0.2">
      <c r="A855">
        <f t="shared" si="178"/>
        <v>854</v>
      </c>
      <c r="B855">
        <f t="shared" si="180"/>
        <v>176.47058823529412</v>
      </c>
      <c r="C855">
        <f t="shared" si="179"/>
        <v>854000</v>
      </c>
      <c r="E855" t="s">
        <v>14</v>
      </c>
      <c r="F855">
        <v>31.08176886</v>
      </c>
      <c r="G855">
        <v>43.429000000000002</v>
      </c>
      <c r="H855">
        <f t="shared" si="171"/>
        <v>0.71569156232010867</v>
      </c>
      <c r="I855">
        <v>473.68393809999998</v>
      </c>
      <c r="J855">
        <f t="shared" si="172"/>
        <v>661.85485904629752</v>
      </c>
      <c r="K855" s="1">
        <v>1.4100000000000001E-6</v>
      </c>
      <c r="L855" s="1">
        <f t="shared" si="173"/>
        <v>124602.51308158576</v>
      </c>
      <c r="M855" s="1">
        <f t="shared" si="174"/>
        <v>1091518014.5946913</v>
      </c>
      <c r="N855">
        <f t="shared" si="175"/>
        <v>98858814412.773972</v>
      </c>
      <c r="O855">
        <v>5.7177615570000002</v>
      </c>
      <c r="P855" s="1">
        <f t="shared" si="176"/>
        <v>1.2318056716097728E+16</v>
      </c>
      <c r="Q855" s="1">
        <f t="shared" si="177"/>
        <v>2154349493818482.2</v>
      </c>
    </row>
    <row r="856" spans="1:17" x14ac:dyDescent="0.2">
      <c r="A856">
        <f t="shared" si="178"/>
        <v>855</v>
      </c>
      <c r="B856">
        <f t="shared" si="180"/>
        <v>176.47058823529412</v>
      </c>
      <c r="C856">
        <f t="shared" si="179"/>
        <v>855000</v>
      </c>
      <c r="E856" t="s">
        <v>14</v>
      </c>
      <c r="F856">
        <v>31.03591806</v>
      </c>
      <c r="G856">
        <v>43.429000000000002</v>
      </c>
      <c r="H856">
        <f t="shared" si="171"/>
        <v>0.71463579773883812</v>
      </c>
      <c r="I856">
        <v>354.27843819999998</v>
      </c>
      <c r="J856">
        <f t="shared" si="172"/>
        <v>495.74683960832056</v>
      </c>
      <c r="K856" s="1">
        <v>1.4100000000000001E-6</v>
      </c>
      <c r="L856" s="1">
        <f t="shared" si="173"/>
        <v>124235.16519827671</v>
      </c>
      <c r="M856" s="1">
        <f t="shared" si="174"/>
        <v>1088300047.136904</v>
      </c>
      <c r="N856">
        <f t="shared" si="175"/>
        <v>178543664.8993755</v>
      </c>
      <c r="O856">
        <v>5.991484185</v>
      </c>
      <c r="P856" s="1">
        <f t="shared" si="176"/>
        <v>22181401703879.672</v>
      </c>
      <c r="Q856" s="1">
        <f t="shared" si="177"/>
        <v>3702154761488.3125</v>
      </c>
    </row>
    <row r="857" spans="1:17" x14ac:dyDescent="0.2">
      <c r="A857">
        <f t="shared" si="178"/>
        <v>856</v>
      </c>
      <c r="B857">
        <f t="shared" si="180"/>
        <v>176.47058823529412</v>
      </c>
      <c r="C857">
        <f t="shared" si="179"/>
        <v>856000</v>
      </c>
      <c r="E857" t="s">
        <v>14</v>
      </c>
      <c r="F857">
        <v>31.086685939999999</v>
      </c>
      <c r="G857">
        <v>43.429000000000002</v>
      </c>
      <c r="H857">
        <f t="shared" si="171"/>
        <v>0.71580478343963705</v>
      </c>
      <c r="I857">
        <v>397.92598170000002</v>
      </c>
      <c r="J857">
        <f t="shared" si="172"/>
        <v>555.91411360490952</v>
      </c>
      <c r="K857" s="1">
        <v>1.4100000000000001E-6</v>
      </c>
      <c r="L857" s="1">
        <f t="shared" si="173"/>
        <v>124641.93998745218</v>
      </c>
      <c r="M857" s="1">
        <f t="shared" si="174"/>
        <v>1091863394.290081</v>
      </c>
      <c r="N857">
        <f t="shared" si="175"/>
        <v>1759567341.9016001</v>
      </c>
      <c r="O857">
        <v>6.4476885639999999</v>
      </c>
      <c r="P857" s="1">
        <f t="shared" si="176"/>
        <v>219315887033180</v>
      </c>
      <c r="Q857" s="1">
        <f t="shared" si="177"/>
        <v>34014652670680.699</v>
      </c>
    </row>
    <row r="858" spans="1:17" x14ac:dyDescent="0.2">
      <c r="A858">
        <f t="shared" si="178"/>
        <v>857</v>
      </c>
      <c r="B858">
        <f t="shared" si="180"/>
        <v>176.47058823529412</v>
      </c>
      <c r="C858">
        <f t="shared" si="179"/>
        <v>857000</v>
      </c>
      <c r="E858" t="s">
        <v>14</v>
      </c>
      <c r="F858">
        <v>31.099015550000001</v>
      </c>
      <c r="G858">
        <v>43.429000000000002</v>
      </c>
      <c r="H858">
        <f t="shared" si="171"/>
        <v>0.71608868613138688</v>
      </c>
      <c r="I858">
        <v>421.72668670000002</v>
      </c>
      <c r="J858">
        <f t="shared" si="172"/>
        <v>588.93080545420355</v>
      </c>
      <c r="K858" s="1">
        <v>1.3999999999999999E-6</v>
      </c>
      <c r="L858" s="1">
        <f t="shared" si="173"/>
        <v>125631.83656931712</v>
      </c>
      <c r="M858" s="1">
        <f t="shared" si="174"/>
        <v>1100534888.347218</v>
      </c>
      <c r="N858">
        <f t="shared" si="175"/>
        <v>6175554583.5672102</v>
      </c>
      <c r="O858">
        <v>6.6909975670000001</v>
      </c>
      <c r="P858" s="1">
        <f t="shared" si="176"/>
        <v>775846264167613</v>
      </c>
      <c r="Q858" s="1">
        <f t="shared" si="177"/>
        <v>115953750752217.69</v>
      </c>
    </row>
    <row r="859" spans="1:17" x14ac:dyDescent="0.2">
      <c r="A859">
        <f t="shared" si="178"/>
        <v>858</v>
      </c>
      <c r="B859">
        <f t="shared" si="180"/>
        <v>176.47058823529412</v>
      </c>
      <c r="C859">
        <f t="shared" si="179"/>
        <v>858000</v>
      </c>
      <c r="E859" t="s">
        <v>14</v>
      </c>
      <c r="F859">
        <v>30.968976470000001</v>
      </c>
      <c r="G859">
        <v>43.429000000000002</v>
      </c>
      <c r="H859">
        <f t="shared" si="171"/>
        <v>0.71309439475926228</v>
      </c>
      <c r="I859">
        <v>334.28426459999997</v>
      </c>
      <c r="J859">
        <f t="shared" si="172"/>
        <v>468.7798236204801</v>
      </c>
      <c r="K859" s="1">
        <v>1.42E-6</v>
      </c>
      <c r="L859" s="1">
        <f t="shared" si="173"/>
        <v>122828.69030430845</v>
      </c>
      <c r="M859" s="1">
        <f t="shared" si="174"/>
        <v>1075979327.065742</v>
      </c>
      <c r="N859">
        <f t="shared" si="175"/>
        <v>64030170.938454427</v>
      </c>
      <c r="O859">
        <v>6.9381082730000001</v>
      </c>
      <c r="P859" s="1">
        <f t="shared" si="176"/>
        <v>7864742036331.3496</v>
      </c>
      <c r="Q859" s="1">
        <f t="shared" si="177"/>
        <v>1133557120596.8911</v>
      </c>
    </row>
    <row r="860" spans="1:17" x14ac:dyDescent="0.2">
      <c r="A860">
        <f t="shared" si="178"/>
        <v>859</v>
      </c>
      <c r="B860">
        <f t="shared" si="180"/>
        <v>176.47058823529412</v>
      </c>
      <c r="C860">
        <f t="shared" si="179"/>
        <v>859000</v>
      </c>
      <c r="E860" t="s">
        <v>14</v>
      </c>
      <c r="F860">
        <v>30.984326859999999</v>
      </c>
      <c r="G860">
        <v>43.429000000000002</v>
      </c>
      <c r="H860">
        <f t="shared" si="171"/>
        <v>0.71344785419880719</v>
      </c>
      <c r="I860">
        <v>446.95095679999997</v>
      </c>
      <c r="J860">
        <f t="shared" si="172"/>
        <v>626.46618693936671</v>
      </c>
      <c r="K860" s="1">
        <v>1.42E-6</v>
      </c>
      <c r="L860" s="1">
        <f t="shared" si="173"/>
        <v>122950.48545541035</v>
      </c>
      <c r="M860" s="1">
        <f t="shared" si="174"/>
        <v>1077046252.5893946</v>
      </c>
      <c r="N860">
        <f t="shared" si="175"/>
        <v>25737841057.652355</v>
      </c>
      <c r="O860">
        <v>6.8088503649999996</v>
      </c>
      <c r="P860" s="1">
        <f t="shared" si="176"/>
        <v>3164480052612549.5</v>
      </c>
      <c r="Q860" s="1">
        <f t="shared" si="177"/>
        <v>464759817439834.38</v>
      </c>
    </row>
    <row r="861" spans="1:17" x14ac:dyDescent="0.2">
      <c r="A861">
        <f t="shared" si="178"/>
        <v>860</v>
      </c>
      <c r="B861">
        <f t="shared" si="180"/>
        <v>176.47058823529412</v>
      </c>
      <c r="C861">
        <f t="shared" si="179"/>
        <v>860000</v>
      </c>
      <c r="E861" t="s">
        <v>14</v>
      </c>
      <c r="F861">
        <v>30.87429904</v>
      </c>
      <c r="G861">
        <v>43.429000000000002</v>
      </c>
      <c r="H861">
        <f t="shared" si="171"/>
        <v>0.71091434387160646</v>
      </c>
      <c r="I861">
        <v>951.11735910000004</v>
      </c>
      <c r="J861">
        <f t="shared" si="172"/>
        <v>1337.8789826074674</v>
      </c>
      <c r="K861" s="1">
        <v>1.4300000000000001E-6</v>
      </c>
      <c r="L861" s="1">
        <f t="shared" si="173"/>
        <v>121225.12383397348</v>
      </c>
      <c r="M861" s="1">
        <f t="shared" si="174"/>
        <v>1061932084.7856077</v>
      </c>
      <c r="N861">
        <f t="shared" si="175"/>
        <v>1.4439150276272881E+22</v>
      </c>
      <c r="O861">
        <v>6.557937956</v>
      </c>
      <c r="P861" s="1">
        <f t="shared" si="176"/>
        <v>1.7503877802985326E+27</v>
      </c>
      <c r="Q861" s="1">
        <f t="shared" si="177"/>
        <v>2.6691130535888417E+26</v>
      </c>
    </row>
    <row r="862" spans="1:17" x14ac:dyDescent="0.2">
      <c r="A862">
        <f t="shared" si="178"/>
        <v>861</v>
      </c>
      <c r="B862">
        <f t="shared" si="180"/>
        <v>176.47058823529412</v>
      </c>
      <c r="C862">
        <f t="shared" si="179"/>
        <v>861000</v>
      </c>
      <c r="E862" t="s">
        <v>14</v>
      </c>
      <c r="F862">
        <v>29.976522899999999</v>
      </c>
      <c r="G862">
        <v>43.429000000000002</v>
      </c>
      <c r="H862">
        <f t="shared" si="171"/>
        <v>0.69024207096640489</v>
      </c>
      <c r="I862">
        <v>397.92598170000002</v>
      </c>
      <c r="J862">
        <f t="shared" si="172"/>
        <v>576.50206853208124</v>
      </c>
      <c r="K862" s="1">
        <v>1.5600000000000001E-6</v>
      </c>
      <c r="L862" s="1">
        <f t="shared" si="173"/>
        <v>104754.42434004685</v>
      </c>
      <c r="M862" s="1">
        <f t="shared" si="174"/>
        <v>917648757.21881044</v>
      </c>
      <c r="N862">
        <f t="shared" si="175"/>
        <v>3849599931.9068117</v>
      </c>
      <c r="O862">
        <v>8.8047445260000003</v>
      </c>
      <c r="P862" s="1">
        <f t="shared" si="176"/>
        <v>403262624806381.62</v>
      </c>
      <c r="Q862" s="1">
        <f t="shared" si="177"/>
        <v>45800604846121.984</v>
      </c>
    </row>
    <row r="863" spans="1:17" x14ac:dyDescent="0.2">
      <c r="A863">
        <f t="shared" si="178"/>
        <v>862</v>
      </c>
      <c r="B863">
        <f t="shared" si="180"/>
        <v>176.47058823529412</v>
      </c>
      <c r="C863">
        <f t="shared" si="179"/>
        <v>862000</v>
      </c>
      <c r="E863" t="s">
        <v>14</v>
      </c>
      <c r="F863">
        <v>29.598494819999999</v>
      </c>
      <c r="G863">
        <v>43.429000000000002</v>
      </c>
      <c r="H863">
        <f t="shared" si="171"/>
        <v>0.68153756291878698</v>
      </c>
      <c r="I863">
        <v>753.90905290000001</v>
      </c>
      <c r="J863">
        <f t="shared" si="172"/>
        <v>1106.1885564623485</v>
      </c>
      <c r="K863" s="1">
        <v>1.61E-6</v>
      </c>
      <c r="L863" s="1">
        <f t="shared" si="173"/>
        <v>98957.300146933456</v>
      </c>
      <c r="M863" s="1">
        <f t="shared" si="174"/>
        <v>866865949.28713703</v>
      </c>
      <c r="N863">
        <f t="shared" si="175"/>
        <v>2.1536663219635953E+18</v>
      </c>
      <c r="O863">
        <v>10.637165449999999</v>
      </c>
      <c r="P863" s="1">
        <f t="shared" si="176"/>
        <v>2.1312100463889372E+23</v>
      </c>
      <c r="Q863" s="1">
        <f t="shared" si="177"/>
        <v>2.0035507169712562E+22</v>
      </c>
    </row>
    <row r="864" spans="1:17" x14ac:dyDescent="0.2">
      <c r="A864">
        <f t="shared" si="178"/>
        <v>863</v>
      </c>
      <c r="B864">
        <f t="shared" si="180"/>
        <v>176.47058823529412</v>
      </c>
      <c r="C864">
        <f t="shared" si="179"/>
        <v>863000</v>
      </c>
      <c r="E864" t="s">
        <v>14</v>
      </c>
      <c r="F864">
        <v>29.477644940000001</v>
      </c>
      <c r="G864">
        <v>43.429000000000002</v>
      </c>
      <c r="H864">
        <f t="shared" si="171"/>
        <v>0.6787548628796426</v>
      </c>
      <c r="I864">
        <v>446.95095679999997</v>
      </c>
      <c r="J864">
        <f t="shared" si="172"/>
        <v>658.48656303366135</v>
      </c>
      <c r="K864" s="1">
        <v>1.6300000000000001E-6</v>
      </c>
      <c r="L864" s="1">
        <f t="shared" si="173"/>
        <v>96946.564547108908</v>
      </c>
      <c r="M864" s="1">
        <f t="shared" si="174"/>
        <v>849251905.43267405</v>
      </c>
      <c r="N864">
        <f t="shared" si="175"/>
        <v>86973720763.317688</v>
      </c>
      <c r="O864">
        <v>11.237834550000001</v>
      </c>
      <c r="P864" s="1">
        <f t="shared" si="176"/>
        <v>8431803433883205</v>
      </c>
      <c r="Q864" s="1">
        <f t="shared" si="177"/>
        <v>750304998384515.75</v>
      </c>
    </row>
    <row r="865" spans="1:17" x14ac:dyDescent="0.2">
      <c r="A865">
        <f t="shared" si="178"/>
        <v>864</v>
      </c>
      <c r="B865">
        <f t="shared" si="180"/>
        <v>176.47058823529412</v>
      </c>
      <c r="C865">
        <f t="shared" si="179"/>
        <v>864000</v>
      </c>
      <c r="E865" t="s">
        <v>14</v>
      </c>
      <c r="F865">
        <v>29.551172780000002</v>
      </c>
      <c r="G865">
        <v>43.429000000000002</v>
      </c>
      <c r="H865">
        <f t="shared" si="171"/>
        <v>0.68044792143498589</v>
      </c>
      <c r="I865">
        <v>1801.9833349999999</v>
      </c>
      <c r="J865">
        <f t="shared" si="172"/>
        <v>2648.231081667243</v>
      </c>
      <c r="K865" s="1">
        <v>1.6199999999999999E-6</v>
      </c>
      <c r="L865" s="1">
        <f t="shared" si="173"/>
        <v>98032.23161007477</v>
      </c>
      <c r="M865" s="1">
        <f t="shared" si="174"/>
        <v>858762348.90425503</v>
      </c>
      <c r="N865">
        <f t="shared" si="175"/>
        <v>6.3093261545105705E+43</v>
      </c>
      <c r="O865">
        <v>10.724604619999999</v>
      </c>
      <c r="P865" s="1">
        <f t="shared" si="176"/>
        <v>6.1851732288248262E+48</v>
      </c>
      <c r="Q865" s="1">
        <f t="shared" si="177"/>
        <v>5.7672738977157988E+47</v>
      </c>
    </row>
    <row r="866" spans="1:17" x14ac:dyDescent="0.2">
      <c r="A866">
        <f t="shared" si="178"/>
        <v>865</v>
      </c>
      <c r="B866">
        <f t="shared" si="180"/>
        <v>176.47058823529412</v>
      </c>
      <c r="C866">
        <f t="shared" si="179"/>
        <v>865000</v>
      </c>
      <c r="E866" t="s">
        <v>14</v>
      </c>
      <c r="F866">
        <v>29.465154269999999</v>
      </c>
      <c r="G866">
        <v>43.429000000000002</v>
      </c>
      <c r="H866">
        <f t="shared" si="171"/>
        <v>0.67846725160606958</v>
      </c>
      <c r="I866">
        <v>1132.1930130000001</v>
      </c>
      <c r="J866">
        <f t="shared" si="172"/>
        <v>1668.7511597941825</v>
      </c>
      <c r="K866" s="1">
        <v>1.6300000000000001E-6</v>
      </c>
      <c r="L866" s="1">
        <f t="shared" si="173"/>
        <v>96864.422911134679</v>
      </c>
      <c r="M866" s="1">
        <f t="shared" si="174"/>
        <v>848532344.70153975</v>
      </c>
      <c r="N866">
        <f t="shared" si="175"/>
        <v>4.2061977820392122E+27</v>
      </c>
      <c r="O866">
        <v>11.306265209999999</v>
      </c>
      <c r="P866" s="1">
        <f t="shared" si="176"/>
        <v>4.0743092080732296E+32</v>
      </c>
      <c r="Q866" s="1">
        <f t="shared" si="177"/>
        <v>3.6035853859766567E+31</v>
      </c>
    </row>
    <row r="867" spans="1:17" x14ac:dyDescent="0.2">
      <c r="A867">
        <f t="shared" si="178"/>
        <v>866</v>
      </c>
      <c r="B867">
        <f t="shared" si="180"/>
        <v>176.47058823529412</v>
      </c>
      <c r="C867">
        <f t="shared" si="179"/>
        <v>866000</v>
      </c>
      <c r="E867" t="s">
        <v>14</v>
      </c>
      <c r="F867">
        <v>29.533337029999998</v>
      </c>
      <c r="G867">
        <v>43.429000000000002</v>
      </c>
      <c r="H867">
        <f t="shared" si="171"/>
        <v>0.68003723387598147</v>
      </c>
      <c r="I867">
        <v>3039.5539570000001</v>
      </c>
      <c r="J867">
        <f t="shared" si="172"/>
        <v>4469.6875488354863</v>
      </c>
      <c r="K867" s="1">
        <v>1.6199999999999999E-6</v>
      </c>
      <c r="L867" s="1">
        <f t="shared" si="173"/>
        <v>97913.931687648059</v>
      </c>
      <c r="M867" s="1">
        <f t="shared" si="174"/>
        <v>857726041.58379698</v>
      </c>
      <c r="N867">
        <f t="shared" si="175"/>
        <v>7.6085826876237927E+73</v>
      </c>
      <c r="O867">
        <v>10.975517030000001</v>
      </c>
      <c r="P867" s="1">
        <f t="shared" si="176"/>
        <v>7.449862455158177E+78</v>
      </c>
      <c r="Q867" s="1">
        <f t="shared" si="177"/>
        <v>6.7877098042807884E+77</v>
      </c>
    </row>
    <row r="868" spans="1:17" x14ac:dyDescent="0.2">
      <c r="A868">
        <f t="shared" si="178"/>
        <v>867</v>
      </c>
      <c r="B868">
        <f t="shared" si="180"/>
        <v>176.47058823529412</v>
      </c>
      <c r="C868">
        <f t="shared" si="179"/>
        <v>867000</v>
      </c>
      <c r="E868" t="s">
        <v>14</v>
      </c>
      <c r="F868">
        <v>29.944330140000002</v>
      </c>
      <c r="G868">
        <v>43.429000000000002</v>
      </c>
      <c r="H868">
        <f t="shared" si="171"/>
        <v>0.68950079762370764</v>
      </c>
      <c r="I868">
        <v>375.46850110000003</v>
      </c>
      <c r="J868">
        <f t="shared" si="172"/>
        <v>544.55122081658635</v>
      </c>
      <c r="K868" s="1">
        <v>1.5600000000000001E-6</v>
      </c>
      <c r="L868" s="1">
        <f t="shared" si="173"/>
        <v>104529.54681015325</v>
      </c>
      <c r="M868" s="1">
        <f t="shared" si="174"/>
        <v>915678830.05694246</v>
      </c>
      <c r="N868">
        <f t="shared" si="175"/>
        <v>1142215167.2262359</v>
      </c>
      <c r="O868">
        <v>9.2115267640000003</v>
      </c>
      <c r="P868" s="1">
        <f t="shared" si="176"/>
        <v>119395233789841.84</v>
      </c>
      <c r="Q868" s="1">
        <f t="shared" si="177"/>
        <v>12961503217518.289</v>
      </c>
    </row>
    <row r="869" spans="1:17" x14ac:dyDescent="0.2">
      <c r="A869">
        <f t="shared" si="178"/>
        <v>868</v>
      </c>
      <c r="B869">
        <f t="shared" si="180"/>
        <v>176.47058823529412</v>
      </c>
      <c r="C869">
        <f t="shared" si="179"/>
        <v>868000</v>
      </c>
      <c r="E869" t="s">
        <v>14</v>
      </c>
      <c r="F869">
        <v>29.774553399999999</v>
      </c>
      <c r="G869">
        <v>43.429000000000002</v>
      </c>
      <c r="H869">
        <f t="shared" si="171"/>
        <v>0.68559150337332186</v>
      </c>
      <c r="I869">
        <v>532.04238750000002</v>
      </c>
      <c r="J869">
        <f t="shared" si="172"/>
        <v>776.03410322646539</v>
      </c>
      <c r="K869" s="1">
        <v>1.59E-6</v>
      </c>
      <c r="L869" s="1">
        <f t="shared" si="173"/>
        <v>101397.64047654606</v>
      </c>
      <c r="M869" s="1">
        <f t="shared" si="174"/>
        <v>888243330.57454348</v>
      </c>
      <c r="N869">
        <f t="shared" si="175"/>
        <v>7597724843869.1543</v>
      </c>
      <c r="O869">
        <v>8.9948296840000008</v>
      </c>
      <c r="P869" s="1">
        <f t="shared" si="176"/>
        <v>7.7039137215836659E+17</v>
      </c>
      <c r="Q869" s="1">
        <f t="shared" si="177"/>
        <v>8.5648244516373488E+16</v>
      </c>
    </row>
    <row r="870" spans="1:17" x14ac:dyDescent="0.2">
      <c r="A870">
        <f t="shared" si="178"/>
        <v>869</v>
      </c>
      <c r="B870">
        <f t="shared" si="180"/>
        <v>176.47058823529412</v>
      </c>
      <c r="C870">
        <f t="shared" si="179"/>
        <v>869000</v>
      </c>
      <c r="E870" t="s">
        <v>14</v>
      </c>
      <c r="F870">
        <v>29.757964829999999</v>
      </c>
      <c r="G870">
        <v>43.429000000000002</v>
      </c>
      <c r="H870">
        <f t="shared" si="171"/>
        <v>0.68520953349144575</v>
      </c>
      <c r="I870">
        <v>397.92598170000002</v>
      </c>
      <c r="J870">
        <f t="shared" si="172"/>
        <v>580.7362014833493</v>
      </c>
      <c r="K870" s="1">
        <v>1.59E-6</v>
      </c>
      <c r="L870" s="1">
        <f t="shared" si="173"/>
        <v>101284.68675605957</v>
      </c>
      <c r="M870" s="1">
        <f t="shared" si="174"/>
        <v>887253855.98308182</v>
      </c>
      <c r="N870">
        <f t="shared" si="175"/>
        <v>4522121507.6854687</v>
      </c>
      <c r="O870">
        <v>9.2077250609999997</v>
      </c>
      <c r="P870" s="1">
        <f t="shared" si="176"/>
        <v>458021660378762.5</v>
      </c>
      <c r="Q870" s="1">
        <f t="shared" si="177"/>
        <v>49743194691894.867</v>
      </c>
    </row>
    <row r="871" spans="1:17" x14ac:dyDescent="0.2">
      <c r="A871">
        <f t="shared" si="178"/>
        <v>870</v>
      </c>
      <c r="B871">
        <f t="shared" si="180"/>
        <v>176.47058823529412</v>
      </c>
      <c r="C871">
        <f t="shared" si="179"/>
        <v>870000</v>
      </c>
      <c r="E871" t="s">
        <v>14</v>
      </c>
      <c r="F871">
        <v>30.18939889</v>
      </c>
      <c r="G871">
        <v>43.429000000000002</v>
      </c>
      <c r="H871">
        <f t="shared" si="171"/>
        <v>0.69514377236408842</v>
      </c>
      <c r="I871">
        <v>671.21458289999998</v>
      </c>
      <c r="J871">
        <f t="shared" si="172"/>
        <v>965.5766326112531</v>
      </c>
      <c r="K871" s="1">
        <v>1.53E-6</v>
      </c>
      <c r="L871" s="1">
        <f t="shared" si="173"/>
        <v>108330.80290196434</v>
      </c>
      <c r="M871" s="1">
        <f t="shared" si="174"/>
        <v>948977833.42120767</v>
      </c>
      <c r="N871">
        <f t="shared" si="175"/>
        <v>1.0255929435709192E+16</v>
      </c>
      <c r="O871">
        <v>8.1584549880000008</v>
      </c>
      <c r="P871" s="1">
        <f t="shared" si="176"/>
        <v>1.1110330702762668E+21</v>
      </c>
      <c r="Q871" s="1">
        <f t="shared" si="177"/>
        <v>1.3618179813585394E+20</v>
      </c>
    </row>
    <row r="872" spans="1:17" x14ac:dyDescent="0.2">
      <c r="A872">
        <f t="shared" si="178"/>
        <v>871</v>
      </c>
      <c r="B872">
        <f t="shared" si="180"/>
        <v>176.47058823529412</v>
      </c>
      <c r="C872">
        <f t="shared" si="179"/>
        <v>871000</v>
      </c>
      <c r="E872" t="s">
        <v>14</v>
      </c>
      <c r="F872">
        <v>28.94902609</v>
      </c>
      <c r="G872">
        <v>43.429000000000002</v>
      </c>
      <c r="H872">
        <f t="shared" si="171"/>
        <v>0.66658283842593657</v>
      </c>
      <c r="I872">
        <v>563.86484810000002</v>
      </c>
      <c r="J872">
        <f t="shared" si="172"/>
        <v>845.90363807071003</v>
      </c>
      <c r="K872" s="1">
        <v>1.72E-6</v>
      </c>
      <c r="L872" s="1">
        <f t="shared" si="173"/>
        <v>88608.203143025909</v>
      </c>
      <c r="M872" s="1">
        <f t="shared" si="174"/>
        <v>776207859.53290701</v>
      </c>
      <c r="N872">
        <f t="shared" si="175"/>
        <v>108287336638363.5</v>
      </c>
      <c r="O872">
        <v>12.473388079999999</v>
      </c>
      <c r="P872" s="1">
        <f t="shared" si="176"/>
        <v>9.5951463226693448E+18</v>
      </c>
      <c r="Q872" s="1">
        <f t="shared" si="177"/>
        <v>7.6924940209744077E+17</v>
      </c>
    </row>
    <row r="873" spans="1:17" x14ac:dyDescent="0.2">
      <c r="A873">
        <f t="shared" si="178"/>
        <v>872</v>
      </c>
      <c r="B873">
        <f t="shared" si="180"/>
        <v>176.47058823529412</v>
      </c>
      <c r="C873">
        <f t="shared" si="179"/>
        <v>872000</v>
      </c>
      <c r="E873" t="s">
        <v>14</v>
      </c>
      <c r="F873">
        <v>29.632884570000002</v>
      </c>
      <c r="G873">
        <v>43.429000000000002</v>
      </c>
      <c r="H873">
        <f t="shared" si="171"/>
        <v>0.6823294243477861</v>
      </c>
      <c r="I873">
        <v>3221.355423</v>
      </c>
      <c r="J873">
        <f t="shared" si="172"/>
        <v>4721.1146230124496</v>
      </c>
      <c r="K873" s="1">
        <v>1.61E-6</v>
      </c>
      <c r="L873" s="1">
        <f t="shared" si="173"/>
        <v>99187.385753079478</v>
      </c>
      <c r="M873" s="1">
        <f t="shared" si="174"/>
        <v>868881499.19697618</v>
      </c>
      <c r="N873">
        <f t="shared" si="175"/>
        <v>1.080481590023735E+78</v>
      </c>
      <c r="O873">
        <v>8.7933394160000002</v>
      </c>
      <c r="P873" s="1">
        <f t="shared" si="176"/>
        <v>1.0717014426878487E+83</v>
      </c>
      <c r="Q873" s="1">
        <f t="shared" si="177"/>
        <v>1.2187650129117326E+82</v>
      </c>
    </row>
    <row r="874" spans="1:17" x14ac:dyDescent="0.2">
      <c r="A874">
        <f t="shared" si="178"/>
        <v>873</v>
      </c>
      <c r="B874">
        <f t="shared" si="180"/>
        <v>176.47058823529412</v>
      </c>
      <c r="C874">
        <f t="shared" si="179"/>
        <v>873000</v>
      </c>
      <c r="E874" t="s">
        <v>14</v>
      </c>
      <c r="F874">
        <v>29.629588479999999</v>
      </c>
      <c r="G874">
        <v>43.429000000000002</v>
      </c>
      <c r="H874">
        <f t="shared" si="171"/>
        <v>0.6822535282875497</v>
      </c>
      <c r="I874">
        <v>1132.1930130000001</v>
      </c>
      <c r="J874">
        <f t="shared" si="172"/>
        <v>1659.4901544031504</v>
      </c>
      <c r="K874" s="1">
        <v>1.61E-6</v>
      </c>
      <c r="L874" s="1">
        <f t="shared" si="173"/>
        <v>99165.321592085689</v>
      </c>
      <c r="M874" s="1">
        <f t="shared" si="174"/>
        <v>868688217.14667058</v>
      </c>
      <c r="N874">
        <f t="shared" si="175"/>
        <v>2.95763347231678E+27</v>
      </c>
      <c r="O874">
        <v>9.0784671530000001</v>
      </c>
      <c r="P874" s="1">
        <f t="shared" si="176"/>
        <v>2.9329467443381055E+32</v>
      </c>
      <c r="Q874" s="1">
        <f t="shared" si="177"/>
        <v>3.2306629466285028E+31</v>
      </c>
    </row>
    <row r="875" spans="1:17" x14ac:dyDescent="0.2">
      <c r="A875">
        <f t="shared" si="178"/>
        <v>874</v>
      </c>
      <c r="B875">
        <f t="shared" si="180"/>
        <v>176.47058823529412</v>
      </c>
      <c r="C875">
        <f t="shared" si="179"/>
        <v>874000</v>
      </c>
      <c r="E875" t="s">
        <v>14</v>
      </c>
      <c r="F875">
        <v>29.56327705</v>
      </c>
      <c r="G875">
        <v>43.429000000000002</v>
      </c>
      <c r="H875">
        <f t="shared" si="171"/>
        <v>0.68072663542793987</v>
      </c>
      <c r="I875">
        <v>1132.1930130000001</v>
      </c>
      <c r="J875">
        <f t="shared" si="172"/>
        <v>1663.2124469292216</v>
      </c>
      <c r="K875" s="1">
        <v>1.6199999999999999E-6</v>
      </c>
      <c r="L875" s="1">
        <f t="shared" si="173"/>
        <v>98112.556788949325</v>
      </c>
      <c r="M875" s="1">
        <f t="shared" si="174"/>
        <v>859465997.47119606</v>
      </c>
      <c r="N875">
        <f t="shared" si="175"/>
        <v>3.4073594188932495E+27</v>
      </c>
      <c r="O875">
        <v>10.872871050000001</v>
      </c>
      <c r="P875" s="1">
        <f t="shared" si="176"/>
        <v>3.343047444865253E+32</v>
      </c>
      <c r="Q875" s="1">
        <f t="shared" si="177"/>
        <v>3.0746685300431784E+31</v>
      </c>
    </row>
    <row r="876" spans="1:17" x14ac:dyDescent="0.2">
      <c r="A876">
        <f t="shared" si="178"/>
        <v>875</v>
      </c>
      <c r="B876">
        <f t="shared" si="180"/>
        <v>176.47058823529412</v>
      </c>
      <c r="C876">
        <f t="shared" si="179"/>
        <v>875000</v>
      </c>
      <c r="E876" t="s">
        <v>14</v>
      </c>
      <c r="F876">
        <v>29.805500139999999</v>
      </c>
      <c r="G876">
        <v>43.429000000000002</v>
      </c>
      <c r="H876">
        <f t="shared" si="171"/>
        <v>0.68630408574915369</v>
      </c>
      <c r="I876">
        <v>502.01586959999997</v>
      </c>
      <c r="J876">
        <f t="shared" si="172"/>
        <v>731.47731453763834</v>
      </c>
      <c r="K876" s="1">
        <v>1.5799999999999999E-6</v>
      </c>
      <c r="L876" s="1">
        <f t="shared" si="173"/>
        <v>102251.6210466973</v>
      </c>
      <c r="M876" s="1">
        <f t="shared" si="174"/>
        <v>895724200.36906838</v>
      </c>
      <c r="N876">
        <f t="shared" si="175"/>
        <v>1395818652865.2678</v>
      </c>
      <c r="O876">
        <v>11.69403893</v>
      </c>
      <c r="P876" s="1">
        <f t="shared" si="176"/>
        <v>1.427247199426909E+17</v>
      </c>
      <c r="Q876" s="1">
        <f t="shared" si="177"/>
        <v>1.220491233157635E+16</v>
      </c>
    </row>
    <row r="877" spans="1:17" x14ac:dyDescent="0.2">
      <c r="A877">
        <f t="shared" si="178"/>
        <v>876</v>
      </c>
      <c r="B877">
        <f t="shared" si="180"/>
        <v>176.47058823529412</v>
      </c>
      <c r="C877">
        <f t="shared" si="179"/>
        <v>876000</v>
      </c>
      <c r="E877" t="s">
        <v>14</v>
      </c>
      <c r="F877">
        <v>29.962197249999999</v>
      </c>
      <c r="G877">
        <v>43.429000000000002</v>
      </c>
      <c r="H877">
        <f t="shared" si="171"/>
        <v>0.68991220728084912</v>
      </c>
      <c r="I877">
        <v>280.82099360000001</v>
      </c>
      <c r="J877">
        <f t="shared" si="172"/>
        <v>407.03873715584734</v>
      </c>
      <c r="K877" s="1">
        <v>1.5600000000000001E-6</v>
      </c>
      <c r="L877" s="1">
        <f t="shared" si="173"/>
        <v>104654.32489616073</v>
      </c>
      <c r="M877" s="1">
        <f t="shared" si="174"/>
        <v>916771886.09036803</v>
      </c>
      <c r="N877">
        <f t="shared" si="175"/>
        <v>6119722.4944794131</v>
      </c>
      <c r="O877">
        <v>12.602645989999999</v>
      </c>
      <c r="P877" s="1">
        <f t="shared" si="176"/>
        <v>640455426211.59167</v>
      </c>
      <c r="Q877" s="1">
        <f t="shared" si="177"/>
        <v>50819123755.422707</v>
      </c>
    </row>
    <row r="878" spans="1:17" x14ac:dyDescent="0.2">
      <c r="A878">
        <f t="shared" si="178"/>
        <v>877</v>
      </c>
      <c r="B878">
        <f t="shared" si="180"/>
        <v>176.47058823529412</v>
      </c>
      <c r="C878">
        <f t="shared" si="179"/>
        <v>877000</v>
      </c>
      <c r="E878" t="s">
        <v>14</v>
      </c>
      <c r="F878">
        <v>30.24554345</v>
      </c>
      <c r="G878">
        <v>43.429000000000002</v>
      </c>
      <c r="H878">
        <f t="shared" si="171"/>
        <v>0.69643656197471726</v>
      </c>
      <c r="I878">
        <v>334.28426459999997</v>
      </c>
      <c r="J878">
        <f t="shared" si="172"/>
        <v>479.99241115680468</v>
      </c>
      <c r="K878" s="1">
        <v>1.5200000000000001E-6</v>
      </c>
      <c r="L878" s="1">
        <f t="shared" si="173"/>
        <v>109449.46875350087</v>
      </c>
      <c r="M878" s="1">
        <f t="shared" si="174"/>
        <v>958777346.28066766</v>
      </c>
      <c r="N878">
        <f t="shared" si="175"/>
        <v>98075457.498097584</v>
      </c>
      <c r="O878">
        <v>12.40115572</v>
      </c>
      <c r="P878" s="1">
        <f t="shared" si="176"/>
        <v>10734306720923.334</v>
      </c>
      <c r="Q878" s="1">
        <f t="shared" si="177"/>
        <v>865589221141.02234</v>
      </c>
    </row>
    <row r="879" spans="1:17" x14ac:dyDescent="0.2">
      <c r="A879">
        <f t="shared" si="178"/>
        <v>878</v>
      </c>
      <c r="B879">
        <f t="shared" si="180"/>
        <v>176.47058823529412</v>
      </c>
      <c r="C879">
        <f t="shared" si="179"/>
        <v>878000</v>
      </c>
      <c r="E879" t="s">
        <v>14</v>
      </c>
      <c r="F879">
        <v>30.724268639999998</v>
      </c>
      <c r="G879">
        <v>43.429000000000002</v>
      </c>
      <c r="H879">
        <f t="shared" si="171"/>
        <v>0.70745973059476375</v>
      </c>
      <c r="I879">
        <v>421.72668670000002</v>
      </c>
      <c r="J879">
        <f t="shared" si="172"/>
        <v>596.11405209658085</v>
      </c>
      <c r="K879" s="1">
        <v>1.4500000000000001E-6</v>
      </c>
      <c r="L879" s="1">
        <f t="shared" si="173"/>
        <v>118393.96534602276</v>
      </c>
      <c r="M879" s="1">
        <f t="shared" si="174"/>
        <v>1037131136.4311594</v>
      </c>
      <c r="N879">
        <f t="shared" si="175"/>
        <v>8115348109.5775318</v>
      </c>
      <c r="O879">
        <v>11.25684307</v>
      </c>
      <c r="P879" s="1">
        <f t="shared" si="176"/>
        <v>960808242856233.62</v>
      </c>
      <c r="Q879" s="1">
        <f t="shared" si="177"/>
        <v>85353259069306.156</v>
      </c>
    </row>
    <row r="880" spans="1:17" x14ac:dyDescent="0.2">
      <c r="A880">
        <f t="shared" si="178"/>
        <v>879</v>
      </c>
      <c r="B880">
        <f t="shared" si="180"/>
        <v>176.47058823529412</v>
      </c>
      <c r="C880">
        <f t="shared" si="179"/>
        <v>879000</v>
      </c>
      <c r="E880" t="s">
        <v>14</v>
      </c>
      <c r="F880">
        <v>31.0802741</v>
      </c>
      <c r="G880">
        <v>43.429000000000002</v>
      </c>
      <c r="H880">
        <f t="shared" si="171"/>
        <v>0.71565714384397516</v>
      </c>
      <c r="I880">
        <v>375.46850110000003</v>
      </c>
      <c r="J880">
        <f t="shared" si="172"/>
        <v>524.64857555010758</v>
      </c>
      <c r="K880" s="1">
        <v>1.4100000000000001E-6</v>
      </c>
      <c r="L880" s="1">
        <f t="shared" si="173"/>
        <v>124590.5287975009</v>
      </c>
      <c r="M880" s="1">
        <f t="shared" si="174"/>
        <v>1091413032.2661078</v>
      </c>
      <c r="N880">
        <f t="shared" si="175"/>
        <v>535865866.43720382</v>
      </c>
      <c r="O880">
        <v>11.389902680000001</v>
      </c>
      <c r="P880" s="1">
        <f t="shared" si="176"/>
        <v>66763811663942.211</v>
      </c>
      <c r="Q880" s="1">
        <f t="shared" si="177"/>
        <v>5861666560257.4062</v>
      </c>
    </row>
    <row r="881" spans="1:17" x14ac:dyDescent="0.2">
      <c r="A881">
        <f t="shared" si="178"/>
        <v>880</v>
      </c>
      <c r="B881">
        <f t="shared" si="180"/>
        <v>176.47058823529412</v>
      </c>
      <c r="C881">
        <f t="shared" si="179"/>
        <v>880000</v>
      </c>
      <c r="E881" t="s">
        <v>14</v>
      </c>
      <c r="F881">
        <v>30.781405299999999</v>
      </c>
      <c r="G881">
        <v>43.429000000000002</v>
      </c>
      <c r="H881">
        <f t="shared" si="171"/>
        <v>0.70877536438785138</v>
      </c>
      <c r="I881">
        <v>532.04238750000002</v>
      </c>
      <c r="J881">
        <f t="shared" si="172"/>
        <v>750.6502260550626</v>
      </c>
      <c r="K881" s="1">
        <v>1.4500000000000001E-6</v>
      </c>
      <c r="L881" s="1">
        <f t="shared" si="173"/>
        <v>118834.71957720972</v>
      </c>
      <c r="M881" s="1">
        <f t="shared" si="174"/>
        <v>1040992143.4963571</v>
      </c>
      <c r="N881">
        <f t="shared" si="175"/>
        <v>2893805158324.2412</v>
      </c>
      <c r="O881">
        <v>5.9534671530000001</v>
      </c>
      <c r="P881" s="1">
        <f t="shared" si="176"/>
        <v>3.4388452450054419E+17</v>
      </c>
      <c r="Q881" s="1">
        <f t="shared" si="177"/>
        <v>5.7762059597029608E+16</v>
      </c>
    </row>
    <row r="882" spans="1:17" x14ac:dyDescent="0.2">
      <c r="A882">
        <f t="shared" si="178"/>
        <v>881</v>
      </c>
      <c r="B882">
        <f t="shared" si="180"/>
        <v>176.47058823529412</v>
      </c>
      <c r="C882">
        <f t="shared" si="179"/>
        <v>881000</v>
      </c>
      <c r="E882" t="s">
        <v>14</v>
      </c>
      <c r="F882">
        <v>30.661458029999999</v>
      </c>
      <c r="G882">
        <v>43.429000000000002</v>
      </c>
      <c r="H882">
        <f t="shared" si="171"/>
        <v>0.70601344792650067</v>
      </c>
      <c r="I882">
        <v>473.68393809999998</v>
      </c>
      <c r="J882">
        <f t="shared" si="172"/>
        <v>670.92764237164033</v>
      </c>
      <c r="K882" s="1">
        <v>1.46E-6</v>
      </c>
      <c r="L882" s="1">
        <f t="shared" si="173"/>
        <v>117102.78158082298</v>
      </c>
      <c r="M882" s="1">
        <f t="shared" si="174"/>
        <v>1025820366.6480093</v>
      </c>
      <c r="N882">
        <f t="shared" si="175"/>
        <v>139589339140.69391</v>
      </c>
      <c r="O882">
        <v>6.3336374700000002</v>
      </c>
      <c r="P882" s="1">
        <f t="shared" si="176"/>
        <v>1.6346299892404102E+16</v>
      </c>
      <c r="Q882" s="1">
        <f t="shared" si="177"/>
        <v>2580870782363251</v>
      </c>
    </row>
    <row r="883" spans="1:17" x14ac:dyDescent="0.2">
      <c r="A883">
        <f t="shared" si="178"/>
        <v>882</v>
      </c>
      <c r="B883">
        <f t="shared" si="180"/>
        <v>176.47058823529412</v>
      </c>
      <c r="C883">
        <f t="shared" si="179"/>
        <v>882000</v>
      </c>
      <c r="E883" t="s">
        <v>14</v>
      </c>
      <c r="F883">
        <v>30.665310600000002</v>
      </c>
      <c r="G883">
        <v>43.429000000000002</v>
      </c>
      <c r="H883">
        <f t="shared" si="171"/>
        <v>0.7061021575444979</v>
      </c>
      <c r="I883">
        <v>563.86484810000002</v>
      </c>
      <c r="J883">
        <f t="shared" si="172"/>
        <v>798.55987136601516</v>
      </c>
      <c r="K883" s="1">
        <v>1.46E-6</v>
      </c>
      <c r="L883" s="1">
        <f t="shared" si="173"/>
        <v>117132.21103625018</v>
      </c>
      <c r="M883" s="1">
        <f t="shared" si="174"/>
        <v>1026078168.6775516</v>
      </c>
      <c r="N883">
        <f t="shared" si="175"/>
        <v>17893537872495.094</v>
      </c>
      <c r="O883">
        <v>6.6491788319999996</v>
      </c>
      <c r="P883" s="1">
        <f t="shared" si="176"/>
        <v>2.0959096542662305E+18</v>
      </c>
      <c r="Q883" s="1">
        <f t="shared" si="177"/>
        <v>3.1521330787185402E+17</v>
      </c>
    </row>
    <row r="884" spans="1:17" x14ac:dyDescent="0.2">
      <c r="A884">
        <f t="shared" si="178"/>
        <v>883</v>
      </c>
      <c r="B884">
        <f t="shared" si="180"/>
        <v>176.47058823529412</v>
      </c>
      <c r="C884">
        <f t="shared" si="179"/>
        <v>883000</v>
      </c>
      <c r="E884" t="s">
        <v>14</v>
      </c>
      <c r="F884">
        <v>30.763943560000001</v>
      </c>
      <c r="G884">
        <v>43.429000000000002</v>
      </c>
      <c r="H884">
        <f t="shared" si="171"/>
        <v>0.70837328881622874</v>
      </c>
      <c r="I884">
        <v>597.59067030000006</v>
      </c>
      <c r="J884">
        <f t="shared" si="172"/>
        <v>843.60983076965135</v>
      </c>
      <c r="K884" s="1">
        <v>1.4500000000000001E-6</v>
      </c>
      <c r="L884" s="1">
        <f t="shared" si="173"/>
        <v>118699.93220258885</v>
      </c>
      <c r="M884" s="1">
        <f t="shared" si="174"/>
        <v>1039811406.0946784</v>
      </c>
      <c r="N884">
        <f t="shared" si="175"/>
        <v>99241994973477.125</v>
      </c>
      <c r="O884">
        <v>7.1129866179999999</v>
      </c>
      <c r="P884" s="1">
        <f t="shared" si="176"/>
        <v>1.1780018075001399E+19</v>
      </c>
      <c r="Q884" s="1">
        <f t="shared" si="177"/>
        <v>1.6561282493054451E+18</v>
      </c>
    </row>
    <row r="885" spans="1:17" x14ac:dyDescent="0.2">
      <c r="A885">
        <f t="shared" si="178"/>
        <v>884</v>
      </c>
      <c r="B885">
        <f t="shared" si="180"/>
        <v>176.47058823529412</v>
      </c>
      <c r="C885">
        <f t="shared" si="179"/>
        <v>884000</v>
      </c>
      <c r="E885" t="s">
        <v>14</v>
      </c>
      <c r="F885">
        <v>30.639410170000001</v>
      </c>
      <c r="G885">
        <v>43.429000000000002</v>
      </c>
      <c r="H885">
        <f t="shared" si="171"/>
        <v>0.70550577194961894</v>
      </c>
      <c r="I885">
        <v>421.72668670000002</v>
      </c>
      <c r="J885">
        <f t="shared" si="172"/>
        <v>597.76504100680279</v>
      </c>
      <c r="K885" s="1">
        <v>1.46E-6</v>
      </c>
      <c r="L885" s="1">
        <f t="shared" si="173"/>
        <v>116934.43097890419</v>
      </c>
      <c r="M885" s="1">
        <f t="shared" si="174"/>
        <v>1024345615.3752006</v>
      </c>
      <c r="N885">
        <f t="shared" si="175"/>
        <v>8641183065.5428486</v>
      </c>
      <c r="O885">
        <v>7.1053832119999996</v>
      </c>
      <c r="P885" s="1">
        <f t="shared" si="176"/>
        <v>1010451824753795.9</v>
      </c>
      <c r="Q885" s="1">
        <f t="shared" si="177"/>
        <v>142209335458119.12</v>
      </c>
    </row>
    <row r="886" spans="1:17" x14ac:dyDescent="0.2">
      <c r="A886">
        <f t="shared" si="178"/>
        <v>885</v>
      </c>
      <c r="B886">
        <f t="shared" si="180"/>
        <v>176.47058823529412</v>
      </c>
      <c r="C886">
        <f t="shared" si="179"/>
        <v>885000</v>
      </c>
      <c r="E886" t="s">
        <v>14</v>
      </c>
      <c r="F886">
        <v>30.663829700000001</v>
      </c>
      <c r="G886">
        <v>43.429000000000002</v>
      </c>
      <c r="H886">
        <f t="shared" si="171"/>
        <v>0.70606805820995189</v>
      </c>
      <c r="I886">
        <v>502.01586959999997</v>
      </c>
      <c r="J886">
        <f t="shared" si="172"/>
        <v>711.00209641649553</v>
      </c>
      <c r="K886" s="1">
        <v>1.46E-6</v>
      </c>
      <c r="L886" s="1">
        <f t="shared" si="173"/>
        <v>117120.89812928741</v>
      </c>
      <c r="M886" s="1">
        <f t="shared" si="174"/>
        <v>1025979067.6125576</v>
      </c>
      <c r="N886">
        <f t="shared" si="175"/>
        <v>640738970006.30237</v>
      </c>
      <c r="O886">
        <v>7.0559610709999996</v>
      </c>
      <c r="P886" s="1">
        <f t="shared" si="176"/>
        <v>7.5043923633572688E+16</v>
      </c>
      <c r="Q886" s="1">
        <f t="shared" si="177"/>
        <v>1.063553538326667E+16</v>
      </c>
    </row>
    <row r="887" spans="1:17" x14ac:dyDescent="0.2">
      <c r="A887">
        <f t="shared" si="178"/>
        <v>886</v>
      </c>
      <c r="B887">
        <f t="shared" si="180"/>
        <v>176.47058823529412</v>
      </c>
      <c r="C887">
        <f t="shared" si="179"/>
        <v>886000</v>
      </c>
      <c r="E887" t="s">
        <v>14</v>
      </c>
      <c r="F887">
        <v>30.733407010000001</v>
      </c>
      <c r="G887">
        <v>43.429000000000002</v>
      </c>
      <c r="H887">
        <f t="shared" si="171"/>
        <v>0.70767015151166268</v>
      </c>
      <c r="I887">
        <v>563.86484810000002</v>
      </c>
      <c r="J887">
        <f t="shared" si="172"/>
        <v>796.79049186336545</v>
      </c>
      <c r="K887" s="1">
        <v>1.4500000000000001E-6</v>
      </c>
      <c r="L887" s="1">
        <f t="shared" si="173"/>
        <v>118464.40404538283</v>
      </c>
      <c r="M887" s="1">
        <f t="shared" si="174"/>
        <v>1037748179.4375536</v>
      </c>
      <c r="N887">
        <f t="shared" si="175"/>
        <v>16729191253718.039</v>
      </c>
      <c r="O887">
        <v>7.1890206809999997</v>
      </c>
      <c r="P887" s="1">
        <f t="shared" si="176"/>
        <v>1.9818136720329385E+18</v>
      </c>
      <c r="Q887" s="1">
        <f t="shared" si="177"/>
        <v>2.7567227303584086E+17</v>
      </c>
    </row>
    <row r="888" spans="1:17" x14ac:dyDescent="0.2">
      <c r="A888">
        <f t="shared" si="178"/>
        <v>887</v>
      </c>
      <c r="B888">
        <f t="shared" si="180"/>
        <v>176.47058823529412</v>
      </c>
      <c r="C888">
        <f t="shared" si="179"/>
        <v>887000</v>
      </c>
      <c r="E888" t="s">
        <v>14</v>
      </c>
      <c r="F888">
        <v>30.195294579999999</v>
      </c>
      <c r="G888">
        <v>43.429000000000002</v>
      </c>
      <c r="H888">
        <f t="shared" si="171"/>
        <v>0.69527952704414098</v>
      </c>
      <c r="I888">
        <v>2553.4272850000002</v>
      </c>
      <c r="J888">
        <f t="shared" si="172"/>
        <v>3672.5190167118089</v>
      </c>
      <c r="K888" s="1">
        <v>1.53E-6</v>
      </c>
      <c r="L888" s="1">
        <f t="shared" si="173"/>
        <v>108373.11889494541</v>
      </c>
      <c r="M888" s="1">
        <f t="shared" si="174"/>
        <v>949348521.51972175</v>
      </c>
      <c r="N888">
        <f t="shared" si="175"/>
        <v>5.2009155049928285E+60</v>
      </c>
      <c r="O888">
        <v>8.0862226279999998</v>
      </c>
      <c r="P888" s="1">
        <f t="shared" si="176"/>
        <v>5.6363943438515287E+65</v>
      </c>
      <c r="Q888" s="1">
        <f t="shared" si="177"/>
        <v>6.970367504271401E+64</v>
      </c>
    </row>
    <row r="889" spans="1:17" x14ac:dyDescent="0.2">
      <c r="A889">
        <f t="shared" si="178"/>
        <v>888</v>
      </c>
      <c r="B889">
        <f t="shared" si="180"/>
        <v>176.47058823529412</v>
      </c>
      <c r="C889">
        <f t="shared" si="179"/>
        <v>888000</v>
      </c>
      <c r="E889" t="s">
        <v>14</v>
      </c>
      <c r="F889">
        <v>29.843772690000002</v>
      </c>
      <c r="G889">
        <v>43.429000000000002</v>
      </c>
      <c r="H889">
        <f t="shared" si="171"/>
        <v>0.6871853528748072</v>
      </c>
      <c r="I889">
        <v>1347.7422180000001</v>
      </c>
      <c r="J889">
        <f t="shared" si="172"/>
        <v>1961.2499194893849</v>
      </c>
      <c r="K889" s="1">
        <v>1.5799999999999999E-6</v>
      </c>
      <c r="L889" s="1">
        <f t="shared" si="173"/>
        <v>102514.38750477594</v>
      </c>
      <c r="M889" s="1">
        <f t="shared" si="174"/>
        <v>898026034.54183722</v>
      </c>
      <c r="N889">
        <f t="shared" si="175"/>
        <v>2.8477472700473996E+32</v>
      </c>
      <c r="O889">
        <v>9.2191301699999997</v>
      </c>
      <c r="P889" s="1">
        <f t="shared" si="176"/>
        <v>2.919350671573069E+37</v>
      </c>
      <c r="Q889" s="1">
        <f t="shared" si="177"/>
        <v>3.1666226832038203E+36</v>
      </c>
    </row>
    <row r="890" spans="1:17" x14ac:dyDescent="0.2">
      <c r="A890">
        <f t="shared" si="178"/>
        <v>889</v>
      </c>
      <c r="B890">
        <f t="shared" si="180"/>
        <v>176.47058823529412</v>
      </c>
      <c r="C890">
        <f t="shared" si="179"/>
        <v>889000</v>
      </c>
      <c r="E890" t="s">
        <v>14</v>
      </c>
      <c r="F890">
        <v>29.32161408</v>
      </c>
      <c r="G890">
        <v>43.429000000000002</v>
      </c>
      <c r="H890">
        <f t="shared" si="171"/>
        <v>0.6751620824794492</v>
      </c>
      <c r="I890">
        <v>3834.6436100000001</v>
      </c>
      <c r="J890">
        <f t="shared" si="172"/>
        <v>5679.5897007689564</v>
      </c>
      <c r="K890" s="1">
        <v>1.66E-6</v>
      </c>
      <c r="L890" s="1">
        <f t="shared" si="173"/>
        <v>94189.419459620127</v>
      </c>
      <c r="M890" s="1">
        <f t="shared" si="174"/>
        <v>825099314.46627235</v>
      </c>
      <c r="N890">
        <f t="shared" si="175"/>
        <v>7.2914858471543538E+93</v>
      </c>
      <c r="O890">
        <v>11.770072989999999</v>
      </c>
      <c r="P890" s="1">
        <f t="shared" si="176"/>
        <v>6.8678081894150504E+98</v>
      </c>
      <c r="Q890" s="1">
        <f t="shared" si="177"/>
        <v>5.8349750211829836E+97</v>
      </c>
    </row>
    <row r="891" spans="1:17" x14ac:dyDescent="0.2">
      <c r="A891">
        <f t="shared" si="178"/>
        <v>890</v>
      </c>
      <c r="B891">
        <f t="shared" si="180"/>
        <v>176.47058823529412</v>
      </c>
      <c r="C891">
        <f t="shared" si="179"/>
        <v>890000</v>
      </c>
      <c r="E891" t="s">
        <v>14</v>
      </c>
      <c r="F891">
        <v>29.384605109999999</v>
      </c>
      <c r="G891">
        <v>43.429000000000002</v>
      </c>
      <c r="H891">
        <f t="shared" si="171"/>
        <v>0.67661251951460999</v>
      </c>
      <c r="I891">
        <v>2553.4272850000002</v>
      </c>
      <c r="J891">
        <f t="shared" si="172"/>
        <v>3773.8398438618669</v>
      </c>
      <c r="K891" s="1">
        <v>1.6500000000000001E-6</v>
      </c>
      <c r="L891" s="1">
        <f t="shared" si="173"/>
        <v>95167.84487055795</v>
      </c>
      <c r="M891" s="1">
        <f t="shared" si="174"/>
        <v>833670321.0660876</v>
      </c>
      <c r="N891">
        <f t="shared" si="175"/>
        <v>2.4512716123398266E+62</v>
      </c>
      <c r="O891">
        <v>11.777676400000001</v>
      </c>
      <c r="P891" s="1">
        <f t="shared" si="176"/>
        <v>2.3328223653875909E+67</v>
      </c>
      <c r="Q891" s="1">
        <f t="shared" si="177"/>
        <v>1.9807152838632846E+66</v>
      </c>
    </row>
    <row r="892" spans="1:17" x14ac:dyDescent="0.2">
      <c r="A892">
        <f t="shared" si="178"/>
        <v>891</v>
      </c>
      <c r="B892">
        <f t="shared" si="180"/>
        <v>176.47058823529412</v>
      </c>
      <c r="C892">
        <f t="shared" si="179"/>
        <v>891000</v>
      </c>
      <c r="E892" t="s">
        <v>14</v>
      </c>
      <c r="F892">
        <v>29.182607749999999</v>
      </c>
      <c r="G892">
        <v>43.429000000000002</v>
      </c>
      <c r="H892">
        <f t="shared" si="171"/>
        <v>0.67196131041469975</v>
      </c>
      <c r="I892">
        <v>421.72668670000002</v>
      </c>
      <c r="J892">
        <f t="shared" si="172"/>
        <v>627.60560788794839</v>
      </c>
      <c r="K892" s="1">
        <v>1.68E-6</v>
      </c>
      <c r="L892" s="1">
        <f t="shared" si="173"/>
        <v>92187.78388340745</v>
      </c>
      <c r="M892" s="1">
        <f t="shared" si="174"/>
        <v>807564986.81864929</v>
      </c>
      <c r="N892">
        <f t="shared" si="175"/>
        <v>26877547067.46619</v>
      </c>
      <c r="O892">
        <v>13.05124696</v>
      </c>
      <c r="P892" s="1">
        <f t="shared" si="176"/>
        <v>2477781500371685</v>
      </c>
      <c r="Q892" s="1">
        <f t="shared" si="177"/>
        <v>189850173547837.38</v>
      </c>
    </row>
    <row r="893" spans="1:17" x14ac:dyDescent="0.2">
      <c r="A893">
        <f t="shared" si="178"/>
        <v>892</v>
      </c>
      <c r="B893">
        <f t="shared" si="180"/>
        <v>176.47058823529412</v>
      </c>
      <c r="C893">
        <f t="shared" si="179"/>
        <v>892000</v>
      </c>
      <c r="E893" t="s">
        <v>14</v>
      </c>
      <c r="F893">
        <v>29.124175470000001</v>
      </c>
      <c r="G893">
        <v>43.429000000000002</v>
      </c>
      <c r="H893">
        <f t="shared" si="171"/>
        <v>0.67061584356075432</v>
      </c>
      <c r="I893">
        <v>375.46850110000003</v>
      </c>
      <c r="J893">
        <f t="shared" si="172"/>
        <v>559.88611767115901</v>
      </c>
      <c r="K893" s="1">
        <v>1.6899999999999999E-6</v>
      </c>
      <c r="L893" s="1">
        <f t="shared" si="173"/>
        <v>91275.671067871503</v>
      </c>
      <c r="M893" s="1">
        <f t="shared" si="174"/>
        <v>799574878.55455434</v>
      </c>
      <c r="N893">
        <f t="shared" si="175"/>
        <v>2046460980.4674516</v>
      </c>
      <c r="O893">
        <v>13.176703160000001</v>
      </c>
      <c r="P893" s="1">
        <f t="shared" si="176"/>
        <v>186792099306380.91</v>
      </c>
      <c r="Q893" s="1">
        <f t="shared" si="177"/>
        <v>14175935895210.748</v>
      </c>
    </row>
    <row r="894" spans="1:17" x14ac:dyDescent="0.2">
      <c r="A894">
        <f t="shared" si="178"/>
        <v>893</v>
      </c>
      <c r="B894">
        <f t="shared" si="180"/>
        <v>176.47058823529412</v>
      </c>
      <c r="C894">
        <f t="shared" si="179"/>
        <v>893000</v>
      </c>
      <c r="E894" t="s">
        <v>14</v>
      </c>
      <c r="F894">
        <v>29.518173449999999</v>
      </c>
      <c r="G894">
        <v>43.429000000000002</v>
      </c>
      <c r="H894">
        <f t="shared" si="171"/>
        <v>0.67968807594003999</v>
      </c>
      <c r="I894">
        <v>473.68393809999998</v>
      </c>
      <c r="J894">
        <f t="shared" si="172"/>
        <v>696.91370919649171</v>
      </c>
      <c r="K894" s="1">
        <v>1.6199999999999999E-6</v>
      </c>
      <c r="L894" s="1">
        <f t="shared" si="173"/>
        <v>97813.411751389052</v>
      </c>
      <c r="M894" s="1">
        <f t="shared" si="174"/>
        <v>856845486.94216812</v>
      </c>
      <c r="N894">
        <f t="shared" si="175"/>
        <v>374983084631.1673</v>
      </c>
      <c r="O894">
        <v>11.557177619999999</v>
      </c>
      <c r="P894" s="1">
        <f t="shared" si="176"/>
        <v>3.6678374856834336E+16</v>
      </c>
      <c r="Q894" s="1">
        <f t="shared" si="177"/>
        <v>3173644644291132.5</v>
      </c>
    </row>
    <row r="895" spans="1:17" x14ac:dyDescent="0.2">
      <c r="A895">
        <f t="shared" si="178"/>
        <v>894</v>
      </c>
      <c r="B895">
        <f t="shared" si="180"/>
        <v>176.47058823529412</v>
      </c>
      <c r="C895">
        <f t="shared" si="179"/>
        <v>894000</v>
      </c>
      <c r="E895" t="s">
        <v>14</v>
      </c>
      <c r="F895">
        <v>29.581757719999999</v>
      </c>
      <c r="G895">
        <v>43.429000000000002</v>
      </c>
      <c r="H895">
        <f t="shared" si="171"/>
        <v>0.68115217297197717</v>
      </c>
      <c r="I895">
        <v>375.46850110000003</v>
      </c>
      <c r="J895">
        <f t="shared" si="172"/>
        <v>551.22557924431214</v>
      </c>
      <c r="K895" s="1">
        <v>1.6199999999999999E-6</v>
      </c>
      <c r="L895" s="1">
        <f t="shared" si="173"/>
        <v>98235.259865027838</v>
      </c>
      <c r="M895" s="1">
        <f t="shared" si="174"/>
        <v>860540876.4176439</v>
      </c>
      <c r="N895">
        <f t="shared" si="175"/>
        <v>1472227182.6757143</v>
      </c>
      <c r="O895">
        <v>11.45833333</v>
      </c>
      <c r="P895" s="1">
        <f t="shared" si="176"/>
        <v>144624619870506.59</v>
      </c>
      <c r="Q895" s="1">
        <f t="shared" si="177"/>
        <v>12621785010552.367</v>
      </c>
    </row>
    <row r="896" spans="1:17" x14ac:dyDescent="0.2">
      <c r="A896">
        <f t="shared" si="178"/>
        <v>895</v>
      </c>
      <c r="B896">
        <f t="shared" si="180"/>
        <v>176.47058823529412</v>
      </c>
      <c r="C896">
        <f t="shared" si="179"/>
        <v>895000</v>
      </c>
      <c r="E896" t="s">
        <v>14</v>
      </c>
      <c r="F896">
        <v>29.610050770000001</v>
      </c>
      <c r="G896">
        <v>43.429000000000002</v>
      </c>
      <c r="H896">
        <f t="shared" si="171"/>
        <v>0.68180365124686271</v>
      </c>
      <c r="I896">
        <v>1604.3281179999999</v>
      </c>
      <c r="J896">
        <f t="shared" si="172"/>
        <v>2353.0647204162829</v>
      </c>
      <c r="K896" s="1">
        <v>1.61E-6</v>
      </c>
      <c r="L896" s="1">
        <f t="shared" si="173"/>
        <v>99034.585755757085</v>
      </c>
      <c r="M896" s="1">
        <f t="shared" si="174"/>
        <v>867542971.22043204</v>
      </c>
      <c r="N896">
        <f t="shared" si="175"/>
        <v>8.42007253104903E+38</v>
      </c>
      <c r="O896">
        <v>11.60659976</v>
      </c>
      <c r="P896" s="1">
        <f t="shared" si="176"/>
        <v>8.3387839514586975E+43</v>
      </c>
      <c r="Q896" s="1">
        <f t="shared" si="177"/>
        <v>7.1845192596343109E+42</v>
      </c>
    </row>
    <row r="897" spans="1:17" x14ac:dyDescent="0.2">
      <c r="A897">
        <f t="shared" si="178"/>
        <v>896</v>
      </c>
      <c r="B897">
        <f t="shared" si="180"/>
        <v>176.47058823529412</v>
      </c>
      <c r="C897">
        <f t="shared" si="179"/>
        <v>896000</v>
      </c>
      <c r="E897" t="s">
        <v>14</v>
      </c>
      <c r="F897">
        <v>28.569760519999999</v>
      </c>
      <c r="G897">
        <v>43.429000000000002</v>
      </c>
      <c r="H897">
        <f t="shared" si="171"/>
        <v>0.65784983582398848</v>
      </c>
      <c r="I897">
        <v>1132.1930130000001</v>
      </c>
      <c r="J897">
        <f t="shared" si="172"/>
        <v>1721.0508407011671</v>
      </c>
      <c r="K897" s="1">
        <v>1.7799999999999999E-6</v>
      </c>
      <c r="L897" s="1">
        <f t="shared" si="173"/>
        <v>83392.627768158141</v>
      </c>
      <c r="M897" s="1">
        <f t="shared" si="174"/>
        <v>730519419.24906528</v>
      </c>
      <c r="N897">
        <f t="shared" si="175"/>
        <v>3.0733921616744144E+28</v>
      </c>
      <c r="O897">
        <v>11.72065085</v>
      </c>
      <c r="P897" s="1">
        <f t="shared" si="176"/>
        <v>2.5629824852408935E+33</v>
      </c>
      <c r="Q897" s="1">
        <f t="shared" si="177"/>
        <v>2.1867236879945907E+32</v>
      </c>
    </row>
    <row r="898" spans="1:17" x14ac:dyDescent="0.2">
      <c r="A898">
        <f t="shared" si="178"/>
        <v>897</v>
      </c>
      <c r="B898">
        <f t="shared" si="180"/>
        <v>176.47058823529412</v>
      </c>
      <c r="C898">
        <f t="shared" si="179"/>
        <v>897000</v>
      </c>
      <c r="E898" t="s">
        <v>14</v>
      </c>
      <c r="F898">
        <v>28.040199779999998</v>
      </c>
      <c r="G898">
        <v>43.429000000000002</v>
      </c>
      <c r="H898">
        <f t="shared" si="171"/>
        <v>0.64565612332773026</v>
      </c>
      <c r="I898">
        <v>532.04238750000002</v>
      </c>
      <c r="J898">
        <f t="shared" si="172"/>
        <v>824.03367408309896</v>
      </c>
      <c r="K898" s="1">
        <v>1.8700000000000001E-6</v>
      </c>
      <c r="L898" s="1">
        <f t="shared" si="173"/>
        <v>76463.656443622182</v>
      </c>
      <c r="M898" s="1">
        <f t="shared" si="174"/>
        <v>669821630.44613028</v>
      </c>
      <c r="N898">
        <f t="shared" si="175"/>
        <v>47140654767367.164</v>
      </c>
      <c r="O898">
        <v>11.526763989999999</v>
      </c>
      <c r="P898" s="1">
        <f t="shared" si="176"/>
        <v>3.6045468306593628E+18</v>
      </c>
      <c r="Q898" s="1">
        <f t="shared" si="177"/>
        <v>3.1271108125285414E+17</v>
      </c>
    </row>
    <row r="899" spans="1:17" x14ac:dyDescent="0.2">
      <c r="A899">
        <f t="shared" si="178"/>
        <v>898</v>
      </c>
      <c r="B899">
        <f t="shared" si="180"/>
        <v>176.47058823529412</v>
      </c>
      <c r="C899">
        <f t="shared" si="179"/>
        <v>898000</v>
      </c>
      <c r="E899" t="s">
        <v>14</v>
      </c>
      <c r="F899">
        <v>29.10435077</v>
      </c>
      <c r="G899">
        <v>43.429000000000002</v>
      </c>
      <c r="H899">
        <f t="shared" ref="H899:H962" si="181">F899/43.429</f>
        <v>0.67015935826291184</v>
      </c>
      <c r="I899">
        <v>671.21458289999998</v>
      </c>
      <c r="J899">
        <f t="shared" ref="J899:J962" si="182">I899/H899</f>
        <v>1001.5745876321466</v>
      </c>
      <c r="K899" s="1">
        <v>1.6899999999999999E-6</v>
      </c>
      <c r="L899" s="1">
        <f t="shared" ref="L899:L962" si="183">((H899^2)*0.343)/(K899)</f>
        <v>91151.451452842448</v>
      </c>
      <c r="M899" s="1">
        <f t="shared" ref="M899:M962" si="184">L899*8760</f>
        <v>798486714.72689986</v>
      </c>
      <c r="N899">
        <f t="shared" ref="N899:N962" si="185">EXP((J899+3.9052)/(26.297))</f>
        <v>4.031629400701856E+16</v>
      </c>
      <c r="O899">
        <v>11.28725669</v>
      </c>
      <c r="P899" s="1">
        <f t="shared" ref="P899:P962" si="186">L899*N899</f>
        <v>3.6748887159392751E+21</v>
      </c>
      <c r="Q899" s="1">
        <f t="shared" ref="Q899:Q962" si="187">P899/O899</f>
        <v>3.2557855437052838E+20</v>
      </c>
    </row>
    <row r="900" spans="1:17" x14ac:dyDescent="0.2">
      <c r="A900">
        <f t="shared" ref="A900:A963" si="188">A899+1</f>
        <v>899</v>
      </c>
      <c r="B900">
        <f t="shared" si="180"/>
        <v>176.47058823529412</v>
      </c>
      <c r="C900">
        <f t="shared" ref="C900:C963" si="189">C899+1000</f>
        <v>899000</v>
      </c>
      <c r="E900" t="s">
        <v>14</v>
      </c>
      <c r="F900">
        <v>29.658118309999999</v>
      </c>
      <c r="G900">
        <v>43.429000000000002</v>
      </c>
      <c r="H900">
        <f t="shared" si="181"/>
        <v>0.68291045867968403</v>
      </c>
      <c r="I900">
        <v>446.95095679999997</v>
      </c>
      <c r="J900">
        <f t="shared" si="182"/>
        <v>654.47958970216951</v>
      </c>
      <c r="K900" s="1">
        <v>1.5999999999999999E-6</v>
      </c>
      <c r="L900" s="1">
        <f t="shared" si="183"/>
        <v>99977.360149321932</v>
      </c>
      <c r="M900" s="1">
        <f t="shared" si="184"/>
        <v>875801674.90806007</v>
      </c>
      <c r="N900">
        <f t="shared" si="185"/>
        <v>74681487093.993103</v>
      </c>
      <c r="O900">
        <v>11.656021900000001</v>
      </c>
      <c r="P900" s="1">
        <f t="shared" si="186"/>
        <v>7466457931683086</v>
      </c>
      <c r="Q900" s="1">
        <f t="shared" si="187"/>
        <v>640566566856148.88</v>
      </c>
    </row>
    <row r="901" spans="1:17" x14ac:dyDescent="0.2">
      <c r="A901">
        <f t="shared" si="188"/>
        <v>900</v>
      </c>
      <c r="B901">
        <f>3000/17</f>
        <v>176.47058823529412</v>
      </c>
      <c r="C901">
        <f t="shared" si="189"/>
        <v>900000</v>
      </c>
      <c r="E901" t="s">
        <v>14</v>
      </c>
      <c r="F901">
        <v>29.710776599999999</v>
      </c>
      <c r="G901">
        <v>43.429000000000002</v>
      </c>
      <c r="H901">
        <f t="shared" si="181"/>
        <v>0.68412297312855463</v>
      </c>
      <c r="I901">
        <v>446.95095679999997</v>
      </c>
      <c r="J901">
        <f t="shared" si="182"/>
        <v>653.3196140981114</v>
      </c>
      <c r="K901" s="1">
        <v>1.5999999999999999E-6</v>
      </c>
      <c r="L901" s="1">
        <f t="shared" si="183"/>
        <v>100332.69695640802</v>
      </c>
      <c r="M901" s="1">
        <f t="shared" si="184"/>
        <v>878914425.33813429</v>
      </c>
      <c r="N901">
        <f t="shared" si="185"/>
        <v>71458843133.552094</v>
      </c>
      <c r="O901">
        <v>11.69784063</v>
      </c>
      <c r="P901" s="1">
        <f t="shared" si="186"/>
        <v>7169658452974180</v>
      </c>
      <c r="Q901" s="1">
        <f t="shared" si="187"/>
        <v>612904439353280.88</v>
      </c>
    </row>
    <row r="902" spans="1:17" x14ac:dyDescent="0.2">
      <c r="A902">
        <f t="shared" si="188"/>
        <v>901</v>
      </c>
      <c r="B902">
        <f t="shared" ref="B902:B965" si="190">3000/17</f>
        <v>176.47058823529412</v>
      </c>
      <c r="C902">
        <f t="shared" si="189"/>
        <v>901000</v>
      </c>
      <c r="E902" t="s">
        <v>14</v>
      </c>
      <c r="F902">
        <v>29.74687527</v>
      </c>
      <c r="G902">
        <v>43.429000000000002</v>
      </c>
      <c r="H902">
        <f t="shared" si="181"/>
        <v>0.68495418430081279</v>
      </c>
      <c r="I902">
        <v>375.46850110000003</v>
      </c>
      <c r="J902">
        <f t="shared" si="182"/>
        <v>548.16586233905639</v>
      </c>
      <c r="K902" s="1">
        <v>1.59E-6</v>
      </c>
      <c r="L902" s="1">
        <f t="shared" si="183"/>
        <v>101209.21161306843</v>
      </c>
      <c r="M902" s="1">
        <f t="shared" si="184"/>
        <v>886592693.73047948</v>
      </c>
      <c r="N902">
        <f t="shared" si="185"/>
        <v>1310520028.1561718</v>
      </c>
      <c r="O902">
        <v>12.043795619999999</v>
      </c>
      <c r="P902" s="1">
        <f t="shared" si="186"/>
        <v>132636698852822.39</v>
      </c>
      <c r="Q902" s="1">
        <f t="shared" si="187"/>
        <v>11012865299089.357</v>
      </c>
    </row>
    <row r="903" spans="1:17" x14ac:dyDescent="0.2">
      <c r="A903">
        <f t="shared" si="188"/>
        <v>902</v>
      </c>
      <c r="B903">
        <f t="shared" si="190"/>
        <v>176.47058823529412</v>
      </c>
      <c r="C903">
        <f t="shared" si="189"/>
        <v>902000</v>
      </c>
      <c r="E903" t="s">
        <v>14</v>
      </c>
      <c r="F903">
        <v>29.825247520000001</v>
      </c>
      <c r="G903">
        <v>43.429000000000002</v>
      </c>
      <c r="H903">
        <f t="shared" si="181"/>
        <v>0.68675879066982892</v>
      </c>
      <c r="I903">
        <v>3039.5539570000001</v>
      </c>
      <c r="J903">
        <f t="shared" si="182"/>
        <v>4425.9410994002374</v>
      </c>
      <c r="K903" s="1">
        <v>1.5799999999999999E-6</v>
      </c>
      <c r="L903" s="1">
        <f t="shared" si="183"/>
        <v>102387.15781067347</v>
      </c>
      <c r="M903" s="1">
        <f t="shared" si="184"/>
        <v>896911502.42149961</v>
      </c>
      <c r="N903">
        <f t="shared" si="185"/>
        <v>1.4415573984153341E+73</v>
      </c>
      <c r="O903">
        <v>12.298509729999999</v>
      </c>
      <c r="P903" s="1">
        <f t="shared" si="186"/>
        <v>1.4759696484469469E+78</v>
      </c>
      <c r="Q903" s="1">
        <f t="shared" si="187"/>
        <v>1.200120730763488E+77</v>
      </c>
    </row>
    <row r="904" spans="1:17" x14ac:dyDescent="0.2">
      <c r="A904">
        <f t="shared" si="188"/>
        <v>903</v>
      </c>
      <c r="B904">
        <f t="shared" si="190"/>
        <v>176.47058823529412</v>
      </c>
      <c r="C904">
        <f t="shared" si="189"/>
        <v>903000</v>
      </c>
      <c r="E904" t="s">
        <v>14</v>
      </c>
      <c r="F904">
        <v>29.989873330000002</v>
      </c>
      <c r="G904">
        <v>43.429000000000002</v>
      </c>
      <c r="H904">
        <f t="shared" si="181"/>
        <v>0.69054947914987685</v>
      </c>
      <c r="I904">
        <v>3221.355423</v>
      </c>
      <c r="J904">
        <f t="shared" si="182"/>
        <v>4664.9161577324676</v>
      </c>
      <c r="K904" s="1">
        <v>1.55E-6</v>
      </c>
      <c r="L904" s="1">
        <f t="shared" si="183"/>
        <v>105524.18969153485</v>
      </c>
      <c r="M904" s="1">
        <f t="shared" si="184"/>
        <v>924391901.69784522</v>
      </c>
      <c r="N904">
        <f t="shared" si="185"/>
        <v>1.2749722383876741E+77</v>
      </c>
      <c r="O904">
        <v>12.72810219</v>
      </c>
      <c r="P904" s="1">
        <f t="shared" si="186"/>
        <v>1.345404123350617E+82</v>
      </c>
      <c r="Q904" s="1">
        <f t="shared" si="187"/>
        <v>1.0570343506572814E+81</v>
      </c>
    </row>
    <row r="905" spans="1:17" x14ac:dyDescent="0.2">
      <c r="A905">
        <f t="shared" si="188"/>
        <v>904</v>
      </c>
      <c r="B905">
        <f t="shared" si="190"/>
        <v>176.47058823529412</v>
      </c>
      <c r="C905">
        <f t="shared" si="189"/>
        <v>904000</v>
      </c>
      <c r="E905" t="s">
        <v>14</v>
      </c>
      <c r="F905">
        <v>31.388974050000002</v>
      </c>
      <c r="G905">
        <v>43.429000000000002</v>
      </c>
      <c r="H905">
        <f t="shared" si="181"/>
        <v>0.72276529623062935</v>
      </c>
      <c r="I905">
        <v>3414.0307790000002</v>
      </c>
      <c r="J905">
        <f t="shared" si="182"/>
        <v>4723.5676599372955</v>
      </c>
      <c r="K905" s="1">
        <v>1.37E-6</v>
      </c>
      <c r="L905" s="1">
        <f t="shared" si="183"/>
        <v>130788.07152432471</v>
      </c>
      <c r="M905" s="1">
        <f t="shared" si="184"/>
        <v>1145703506.5530844</v>
      </c>
      <c r="N905">
        <f t="shared" si="185"/>
        <v>1.1861216475629551E+78</v>
      </c>
      <c r="O905">
        <v>5.1703163019999998</v>
      </c>
      <c r="P905" s="1">
        <f t="shared" si="186"/>
        <v>1.5513056287801362E+83</v>
      </c>
      <c r="Q905" s="1">
        <f t="shared" si="187"/>
        <v>3.0004075924330872E+82</v>
      </c>
    </row>
    <row r="906" spans="1:17" x14ac:dyDescent="0.2">
      <c r="A906">
        <f t="shared" si="188"/>
        <v>905</v>
      </c>
      <c r="B906">
        <f t="shared" si="190"/>
        <v>176.47058823529412</v>
      </c>
      <c r="C906">
        <f t="shared" si="189"/>
        <v>905000</v>
      </c>
      <c r="E906" t="s">
        <v>14</v>
      </c>
      <c r="F906">
        <v>31.239631599999999</v>
      </c>
      <c r="G906">
        <v>43.429000000000002</v>
      </c>
      <c r="H906">
        <f t="shared" si="181"/>
        <v>0.71932652375141026</v>
      </c>
      <c r="I906">
        <v>3834.6436100000001</v>
      </c>
      <c r="J906">
        <f t="shared" si="182"/>
        <v>5330.8803212228031</v>
      </c>
      <c r="K906" s="1">
        <v>1.39E-6</v>
      </c>
      <c r="L906" s="1">
        <f t="shared" si="183"/>
        <v>127682.52675244234</v>
      </c>
      <c r="M906" s="1">
        <f t="shared" si="184"/>
        <v>1118498934.3513949</v>
      </c>
      <c r="N906">
        <f t="shared" si="185"/>
        <v>1.2702432840676435E+88</v>
      </c>
      <c r="O906">
        <v>5.3413929439999999</v>
      </c>
      <c r="P906" s="1">
        <f t="shared" si="186"/>
        <v>1.6218787210007712E+93</v>
      </c>
      <c r="Q906" s="1">
        <f t="shared" si="187"/>
        <v>3.0364340126345351E+92</v>
      </c>
    </row>
    <row r="907" spans="1:17" x14ac:dyDescent="0.2">
      <c r="A907">
        <f t="shared" si="188"/>
        <v>906</v>
      </c>
      <c r="B907">
        <f t="shared" si="190"/>
        <v>176.47058823529412</v>
      </c>
      <c r="C907">
        <f t="shared" si="189"/>
        <v>906000</v>
      </c>
      <c r="E907" t="s">
        <v>14</v>
      </c>
      <c r="F907">
        <v>30.579063120000001</v>
      </c>
      <c r="G907">
        <v>43.429000000000002</v>
      </c>
      <c r="H907">
        <f t="shared" si="181"/>
        <v>0.70411621543208458</v>
      </c>
      <c r="I907">
        <v>711.36119550000001</v>
      </c>
      <c r="J907">
        <f t="shared" si="182"/>
        <v>1010.2894662970792</v>
      </c>
      <c r="K907" s="1">
        <v>1.4699999999999999E-6</v>
      </c>
      <c r="L907" s="1">
        <f t="shared" si="183"/>
        <v>115681.91712802708</v>
      </c>
      <c r="M907" s="1">
        <f t="shared" si="184"/>
        <v>1013373594.0415173</v>
      </c>
      <c r="N907">
        <f t="shared" si="185"/>
        <v>5.6157358049510744E+16</v>
      </c>
      <c r="O907">
        <v>6.348844282</v>
      </c>
      <c r="P907" s="1">
        <f t="shared" si="186"/>
        <v>6.4963908400124464E+21</v>
      </c>
      <c r="Q907" s="1">
        <f t="shared" si="187"/>
        <v>1.0232399081563183E+21</v>
      </c>
    </row>
    <row r="908" spans="1:17" x14ac:dyDescent="0.2">
      <c r="A908">
        <f t="shared" si="188"/>
        <v>907</v>
      </c>
      <c r="B908">
        <f t="shared" si="190"/>
        <v>176.47058823529412</v>
      </c>
      <c r="C908">
        <f t="shared" si="189"/>
        <v>907000</v>
      </c>
      <c r="E908" t="s">
        <v>14</v>
      </c>
      <c r="F908">
        <v>30.46194977</v>
      </c>
      <c r="G908">
        <v>43.429000000000002</v>
      </c>
      <c r="H908">
        <f t="shared" si="181"/>
        <v>0.70141955306362103</v>
      </c>
      <c r="I908">
        <v>2553.4272850000002</v>
      </c>
      <c r="J908">
        <f t="shared" si="182"/>
        <v>3640.370836323686</v>
      </c>
      <c r="K908" s="1">
        <v>1.4899999999999999E-6</v>
      </c>
      <c r="L908" s="1">
        <f t="shared" si="183"/>
        <v>113256.61783291926</v>
      </c>
      <c r="M908" s="1">
        <f t="shared" si="184"/>
        <v>992127972.21637273</v>
      </c>
      <c r="N908">
        <f t="shared" si="185"/>
        <v>1.5316275778027242E+60</v>
      </c>
      <c r="O908">
        <v>6.7024026760000002</v>
      </c>
      <c r="P908" s="1">
        <f t="shared" si="186"/>
        <v>1.7346695924156296E+65</v>
      </c>
      <c r="Q908" s="1">
        <f t="shared" si="187"/>
        <v>2.5881309677604778E+64</v>
      </c>
    </row>
    <row r="909" spans="1:17" x14ac:dyDescent="0.2">
      <c r="A909">
        <f t="shared" si="188"/>
        <v>908</v>
      </c>
      <c r="B909">
        <f t="shared" si="190"/>
        <v>176.47058823529412</v>
      </c>
      <c r="C909">
        <f t="shared" si="189"/>
        <v>908000</v>
      </c>
      <c r="E909" t="s">
        <v>14</v>
      </c>
      <c r="F909">
        <v>30.40264986</v>
      </c>
      <c r="G909">
        <v>43.429000000000002</v>
      </c>
      <c r="H909">
        <f t="shared" si="181"/>
        <v>0.70005410808445967</v>
      </c>
      <c r="I909">
        <v>250.01841450000001</v>
      </c>
      <c r="J909">
        <f t="shared" si="182"/>
        <v>357.14155750634626</v>
      </c>
      <c r="K909" s="1">
        <v>1.5E-6</v>
      </c>
      <c r="L909" s="1">
        <f t="shared" si="183"/>
        <v>112063.98913756896</v>
      </c>
      <c r="M909" s="1">
        <f t="shared" si="184"/>
        <v>981680544.8451041</v>
      </c>
      <c r="N909">
        <f t="shared" si="185"/>
        <v>917657.68247317255</v>
      </c>
      <c r="O909">
        <v>6.8620742090000002</v>
      </c>
      <c r="P909" s="1">
        <f t="shared" si="186"/>
        <v>102836380560.68031</v>
      </c>
      <c r="Q909" s="1">
        <f t="shared" si="187"/>
        <v>14986194761.024961</v>
      </c>
    </row>
    <row r="910" spans="1:17" x14ac:dyDescent="0.2">
      <c r="A910">
        <f t="shared" si="188"/>
        <v>909</v>
      </c>
      <c r="B910">
        <f t="shared" si="190"/>
        <v>176.47058823529412</v>
      </c>
      <c r="C910">
        <f t="shared" si="189"/>
        <v>909000</v>
      </c>
      <c r="E910" t="s">
        <v>14</v>
      </c>
      <c r="F910">
        <v>30.26882926</v>
      </c>
      <c r="G910">
        <v>43.429000000000002</v>
      </c>
      <c r="H910">
        <f t="shared" si="181"/>
        <v>0.69697274309792989</v>
      </c>
      <c r="I910">
        <v>334.28426459999997</v>
      </c>
      <c r="J910">
        <f t="shared" si="182"/>
        <v>479.62315300044742</v>
      </c>
      <c r="K910" s="1">
        <v>1.5099999999999999E-6</v>
      </c>
      <c r="L910" s="1">
        <f t="shared" si="183"/>
        <v>110344.0096590453</v>
      </c>
      <c r="M910" s="1">
        <f t="shared" si="184"/>
        <v>966613524.6132369</v>
      </c>
      <c r="N910">
        <f t="shared" si="185"/>
        <v>96707921.852227733</v>
      </c>
      <c r="O910">
        <v>7.1662104619999996</v>
      </c>
      <c r="P910" s="1">
        <f t="shared" si="186"/>
        <v>10671139862968.416</v>
      </c>
      <c r="Q910" s="1">
        <f t="shared" si="187"/>
        <v>1489091050221.5747</v>
      </c>
    </row>
    <row r="911" spans="1:17" x14ac:dyDescent="0.2">
      <c r="A911">
        <f t="shared" si="188"/>
        <v>910</v>
      </c>
      <c r="B911">
        <f t="shared" si="190"/>
        <v>176.47058823529412</v>
      </c>
      <c r="C911">
        <f t="shared" si="189"/>
        <v>910000</v>
      </c>
      <c r="E911" t="s">
        <v>14</v>
      </c>
      <c r="F911">
        <v>30.318995180000002</v>
      </c>
      <c r="G911">
        <v>43.429000000000002</v>
      </c>
      <c r="H911">
        <f t="shared" si="181"/>
        <v>0.69812786801446036</v>
      </c>
      <c r="I911">
        <v>446.95095679999997</v>
      </c>
      <c r="J911">
        <f t="shared" si="182"/>
        <v>640.21360165891883</v>
      </c>
      <c r="K911" s="1">
        <v>1.5099999999999999E-6</v>
      </c>
      <c r="L911" s="1">
        <f t="shared" si="183"/>
        <v>110710.06913493817</v>
      </c>
      <c r="M911" s="1">
        <f t="shared" si="184"/>
        <v>969820205.62205839</v>
      </c>
      <c r="N911">
        <f t="shared" si="185"/>
        <v>43412062677.430969</v>
      </c>
      <c r="O911">
        <v>7.2726581509999999</v>
      </c>
      <c r="P911" s="1">
        <f t="shared" si="186"/>
        <v>4806152460308652</v>
      </c>
      <c r="Q911" s="1">
        <f t="shared" si="187"/>
        <v>660852244189120.88</v>
      </c>
    </row>
    <row r="912" spans="1:17" x14ac:dyDescent="0.2">
      <c r="A912">
        <f t="shared" si="188"/>
        <v>911</v>
      </c>
      <c r="B912">
        <f t="shared" si="190"/>
        <v>176.47058823529412</v>
      </c>
      <c r="C912">
        <f t="shared" si="189"/>
        <v>911000</v>
      </c>
      <c r="E912" t="s">
        <v>14</v>
      </c>
      <c r="F912">
        <v>30.31686556</v>
      </c>
      <c r="G912">
        <v>43.429000000000002</v>
      </c>
      <c r="H912">
        <f t="shared" si="181"/>
        <v>0.69807883119574476</v>
      </c>
      <c r="I912">
        <v>1008.005486</v>
      </c>
      <c r="J912">
        <f t="shared" si="182"/>
        <v>1443.9708539412081</v>
      </c>
      <c r="K912" s="1">
        <v>1.5099999999999999E-6</v>
      </c>
      <c r="L912" s="1">
        <f t="shared" si="183"/>
        <v>110694.5170300137</v>
      </c>
      <c r="M912" s="1">
        <f t="shared" si="184"/>
        <v>969683969.18291998</v>
      </c>
      <c r="N912">
        <f t="shared" si="185"/>
        <v>8.1591888031311905E+23</v>
      </c>
      <c r="O912">
        <v>7.2878649639999997</v>
      </c>
      <c r="P912" s="1">
        <f t="shared" si="186"/>
        <v>9.0317746391930267E+28</v>
      </c>
      <c r="Q912" s="1">
        <f t="shared" si="187"/>
        <v>1.2392895153529119E+28</v>
      </c>
    </row>
    <row r="913" spans="1:17" x14ac:dyDescent="0.2">
      <c r="A913">
        <f t="shared" si="188"/>
        <v>912</v>
      </c>
      <c r="B913">
        <f t="shared" si="190"/>
        <v>176.47058823529412</v>
      </c>
      <c r="C913">
        <f t="shared" si="189"/>
        <v>912000</v>
      </c>
      <c r="E913" t="s">
        <v>14</v>
      </c>
      <c r="F913">
        <v>30.2226851</v>
      </c>
      <c r="G913">
        <v>43.429000000000002</v>
      </c>
      <c r="H913">
        <f t="shared" si="181"/>
        <v>0.69591022358331989</v>
      </c>
      <c r="I913">
        <v>375.46850110000003</v>
      </c>
      <c r="J913">
        <f t="shared" si="182"/>
        <v>539.53583145634866</v>
      </c>
      <c r="K913" s="1">
        <v>1.5200000000000001E-6</v>
      </c>
      <c r="L913" s="1">
        <f t="shared" si="183"/>
        <v>109284.09636559915</v>
      </c>
      <c r="M913" s="1">
        <f t="shared" si="184"/>
        <v>957328684.16264856</v>
      </c>
      <c r="N913">
        <f t="shared" si="185"/>
        <v>943884507.24337912</v>
      </c>
      <c r="O913">
        <v>7.7326642339999996</v>
      </c>
      <c r="P913" s="1">
        <f t="shared" si="186"/>
        <v>103151565447581.52</v>
      </c>
      <c r="Q913" s="1">
        <f t="shared" si="187"/>
        <v>13339718669540.969</v>
      </c>
    </row>
    <row r="914" spans="1:17" x14ac:dyDescent="0.2">
      <c r="A914">
        <f t="shared" si="188"/>
        <v>913</v>
      </c>
      <c r="B914">
        <f t="shared" si="190"/>
        <v>176.47058823529412</v>
      </c>
      <c r="C914">
        <f t="shared" si="189"/>
        <v>913000</v>
      </c>
      <c r="E914" t="s">
        <v>14</v>
      </c>
      <c r="F914">
        <v>30.134254120000001</v>
      </c>
      <c r="G914">
        <v>43.429000000000002</v>
      </c>
      <c r="H914">
        <f t="shared" si="181"/>
        <v>0.69387400400653942</v>
      </c>
      <c r="I914">
        <v>1068.2961989999999</v>
      </c>
      <c r="J914">
        <f t="shared" si="182"/>
        <v>1539.6112159145418</v>
      </c>
      <c r="K914" s="1">
        <v>1.53E-6</v>
      </c>
      <c r="L914" s="1">
        <f t="shared" si="183"/>
        <v>107935.40442390264</v>
      </c>
      <c r="M914" s="1">
        <f t="shared" si="184"/>
        <v>945514142.75338709</v>
      </c>
      <c r="N914">
        <f t="shared" si="185"/>
        <v>3.098459616352767E+25</v>
      </c>
      <c r="O914">
        <v>7.8809306570000004</v>
      </c>
      <c r="P914" s="1">
        <f t="shared" si="186"/>
        <v>3.3443349178216615E+30</v>
      </c>
      <c r="Q914" s="1">
        <f t="shared" si="187"/>
        <v>4.2435786626940518E+29</v>
      </c>
    </row>
    <row r="915" spans="1:17" x14ac:dyDescent="0.2">
      <c r="A915">
        <f t="shared" si="188"/>
        <v>914</v>
      </c>
      <c r="B915">
        <f t="shared" si="190"/>
        <v>176.47058823529412</v>
      </c>
      <c r="C915">
        <f t="shared" si="189"/>
        <v>914000</v>
      </c>
      <c r="E915" t="s">
        <v>14</v>
      </c>
      <c r="F915">
        <v>30.02780143</v>
      </c>
      <c r="G915">
        <v>43.429000000000002</v>
      </c>
      <c r="H915">
        <f t="shared" si="181"/>
        <v>0.69142281493932622</v>
      </c>
      <c r="I915">
        <v>397.92598170000002</v>
      </c>
      <c r="J915">
        <f t="shared" si="182"/>
        <v>575.5175749225441</v>
      </c>
      <c r="K915" s="1">
        <v>1.55E-6</v>
      </c>
      <c r="L915" s="1">
        <f t="shared" si="183"/>
        <v>105791.27070541114</v>
      </c>
      <c r="M915" s="1">
        <f t="shared" si="184"/>
        <v>926731531.37940156</v>
      </c>
      <c r="N915">
        <f t="shared" si="185"/>
        <v>3708144962.9321733</v>
      </c>
      <c r="O915">
        <v>8.2953163019999998</v>
      </c>
      <c r="P915" s="1">
        <f t="shared" si="186"/>
        <v>392289367588464.31</v>
      </c>
      <c r="Q915" s="1">
        <f t="shared" si="187"/>
        <v>47290465282666</v>
      </c>
    </row>
    <row r="916" spans="1:17" x14ac:dyDescent="0.2">
      <c r="A916">
        <f t="shared" si="188"/>
        <v>915</v>
      </c>
      <c r="B916">
        <f t="shared" si="190"/>
        <v>176.47058823529412</v>
      </c>
      <c r="C916">
        <f t="shared" si="189"/>
        <v>915000</v>
      </c>
      <c r="E916" t="s">
        <v>14</v>
      </c>
      <c r="F916">
        <v>29.885341919999998</v>
      </c>
      <c r="G916">
        <v>43.429000000000002</v>
      </c>
      <c r="H916">
        <f t="shared" si="181"/>
        <v>0.68814252964608891</v>
      </c>
      <c r="I916">
        <v>1132.1930130000001</v>
      </c>
      <c r="J916">
        <f t="shared" si="182"/>
        <v>1645.2885328600253</v>
      </c>
      <c r="K916" s="1">
        <v>1.57E-6</v>
      </c>
      <c r="L916" s="1">
        <f t="shared" si="183"/>
        <v>103454.94802544422</v>
      </c>
      <c r="M916" s="1">
        <f t="shared" si="184"/>
        <v>906265344.70289135</v>
      </c>
      <c r="N916">
        <f t="shared" si="185"/>
        <v>1.7234743659623991E+27</v>
      </c>
      <c r="O916">
        <v>9.1811131390000007</v>
      </c>
      <c r="P916" s="1">
        <f t="shared" si="186"/>
        <v>1.7830195095382541E+32</v>
      </c>
      <c r="Q916" s="1">
        <f t="shared" si="187"/>
        <v>1.9420515601362682E+31</v>
      </c>
    </row>
    <row r="917" spans="1:17" x14ac:dyDescent="0.2">
      <c r="A917">
        <f t="shared" si="188"/>
        <v>916</v>
      </c>
      <c r="B917">
        <f t="shared" si="190"/>
        <v>176.47058823529412</v>
      </c>
      <c r="C917">
        <f t="shared" si="189"/>
        <v>916000</v>
      </c>
      <c r="E917" t="s">
        <v>14</v>
      </c>
      <c r="F917">
        <v>29.435987480000001</v>
      </c>
      <c r="G917">
        <v>43.429000000000002</v>
      </c>
      <c r="H917">
        <f t="shared" si="181"/>
        <v>0.67779565451656731</v>
      </c>
      <c r="I917">
        <v>375.46850110000003</v>
      </c>
      <c r="J917">
        <f t="shared" si="182"/>
        <v>553.95530879849048</v>
      </c>
      <c r="K917" s="1">
        <v>1.64E-6</v>
      </c>
      <c r="L917" s="1">
        <f t="shared" si="183"/>
        <v>96083.282685102982</v>
      </c>
      <c r="M917" s="1">
        <f t="shared" si="184"/>
        <v>841689556.32150209</v>
      </c>
      <c r="N917">
        <f t="shared" si="185"/>
        <v>1633263537.60163</v>
      </c>
      <c r="O917">
        <v>10.724604619999999</v>
      </c>
      <c r="P917" s="1">
        <f t="shared" si="186"/>
        <v>156929322182648.75</v>
      </c>
      <c r="Q917" s="1">
        <f t="shared" si="187"/>
        <v>14632644068760.902</v>
      </c>
    </row>
    <row r="918" spans="1:17" x14ac:dyDescent="0.2">
      <c r="A918">
        <f t="shared" si="188"/>
        <v>917</v>
      </c>
      <c r="B918">
        <f t="shared" si="190"/>
        <v>176.47058823529412</v>
      </c>
      <c r="C918">
        <f t="shared" si="189"/>
        <v>917000</v>
      </c>
      <c r="E918" t="s">
        <v>14</v>
      </c>
      <c r="F918">
        <v>29.454488229999999</v>
      </c>
      <c r="G918">
        <v>43.429000000000002</v>
      </c>
      <c r="H918">
        <f t="shared" si="181"/>
        <v>0.67822165442446292</v>
      </c>
      <c r="I918">
        <v>1199.911617</v>
      </c>
      <c r="J918">
        <f t="shared" si="182"/>
        <v>1769.202751301478</v>
      </c>
      <c r="K918" s="1">
        <v>1.6300000000000001E-6</v>
      </c>
      <c r="L918" s="1">
        <f t="shared" si="183"/>
        <v>96794.308035507784</v>
      </c>
      <c r="M918" s="1">
        <f t="shared" si="184"/>
        <v>847918138.39104819</v>
      </c>
      <c r="N918">
        <f t="shared" si="185"/>
        <v>1.9179881366927207E+29</v>
      </c>
      <c r="O918">
        <v>11.16940389</v>
      </c>
      <c r="P918" s="1">
        <f t="shared" si="186"/>
        <v>1.8565033451148481E+34</v>
      </c>
      <c r="Q918" s="1">
        <f t="shared" si="187"/>
        <v>1.6621328796042383E+33</v>
      </c>
    </row>
    <row r="919" spans="1:17" x14ac:dyDescent="0.2">
      <c r="A919">
        <f t="shared" si="188"/>
        <v>918</v>
      </c>
      <c r="B919">
        <f t="shared" si="190"/>
        <v>176.47058823529412</v>
      </c>
      <c r="C919">
        <f t="shared" si="189"/>
        <v>918000</v>
      </c>
      <c r="E919" t="s">
        <v>14</v>
      </c>
      <c r="F919">
        <v>29.121052039999999</v>
      </c>
      <c r="G919">
        <v>43.429000000000002</v>
      </c>
      <c r="H919">
        <f t="shared" si="181"/>
        <v>0.67054392318496847</v>
      </c>
      <c r="I919">
        <v>4564.6908469999998</v>
      </c>
      <c r="J919">
        <f t="shared" si="182"/>
        <v>6807.4449550127938</v>
      </c>
      <c r="K919" s="1">
        <v>1.6899999999999999E-6</v>
      </c>
      <c r="L919" s="1">
        <f t="shared" si="183"/>
        <v>91256.094350094136</v>
      </c>
      <c r="M919" s="1">
        <f t="shared" si="184"/>
        <v>799403386.50682461</v>
      </c>
      <c r="N919">
        <f t="shared" si="185"/>
        <v>3.0854980074610769E+112</v>
      </c>
      <c r="O919">
        <v>12.264294400000001</v>
      </c>
      <c r="P919" s="1">
        <f t="shared" si="186"/>
        <v>2.8157049728589548E+117</v>
      </c>
      <c r="Q919" s="1">
        <f t="shared" si="187"/>
        <v>2.2958556611776661E+116</v>
      </c>
    </row>
    <row r="920" spans="1:17" x14ac:dyDescent="0.2">
      <c r="A920">
        <f t="shared" si="188"/>
        <v>919</v>
      </c>
      <c r="B920">
        <f t="shared" si="190"/>
        <v>176.47058823529412</v>
      </c>
      <c r="C920">
        <f t="shared" si="189"/>
        <v>919000</v>
      </c>
      <c r="E920" t="s">
        <v>14</v>
      </c>
      <c r="F920">
        <v>28.868148600000001</v>
      </c>
      <c r="G920">
        <v>43.429000000000002</v>
      </c>
      <c r="H920">
        <f t="shared" si="181"/>
        <v>0.66472054617882059</v>
      </c>
      <c r="I920">
        <v>2706.1525969999998</v>
      </c>
      <c r="J920">
        <f t="shared" si="182"/>
        <v>4071.1132107416474</v>
      </c>
      <c r="K920" s="1">
        <v>1.73E-6</v>
      </c>
      <c r="L920" s="1">
        <f t="shared" si="183"/>
        <v>87604.461125843052</v>
      </c>
      <c r="M920" s="1">
        <f t="shared" si="184"/>
        <v>767415079.46238518</v>
      </c>
      <c r="N920">
        <f t="shared" si="185"/>
        <v>1.9900122127424979E+67</v>
      </c>
      <c r="O920">
        <v>13.64431265</v>
      </c>
      <c r="P920" s="1">
        <f t="shared" si="186"/>
        <v>1.7433394753115307E+72</v>
      </c>
      <c r="Q920" s="1">
        <f t="shared" si="187"/>
        <v>1.2777041394690782E+71</v>
      </c>
    </row>
    <row r="921" spans="1:17" x14ac:dyDescent="0.2">
      <c r="A921">
        <f t="shared" si="188"/>
        <v>920</v>
      </c>
      <c r="B921">
        <f t="shared" si="190"/>
        <v>176.47058823529412</v>
      </c>
      <c r="C921">
        <f t="shared" si="189"/>
        <v>920000</v>
      </c>
      <c r="E921" t="s">
        <v>14</v>
      </c>
      <c r="F921">
        <v>28.94575382</v>
      </c>
      <c r="G921">
        <v>43.429000000000002</v>
      </c>
      <c r="H921">
        <f t="shared" si="181"/>
        <v>0.66650749084712979</v>
      </c>
      <c r="I921">
        <v>3618.230411</v>
      </c>
      <c r="J921">
        <f t="shared" si="182"/>
        <v>5428.6417792562779</v>
      </c>
      <c r="K921" s="1">
        <v>1.72E-6</v>
      </c>
      <c r="L921" s="1">
        <f t="shared" si="183"/>
        <v>88588.172515628205</v>
      </c>
      <c r="M921" s="1">
        <f t="shared" si="184"/>
        <v>776032391.23690307</v>
      </c>
      <c r="N921">
        <f t="shared" si="185"/>
        <v>5.2289637137237352E+89</v>
      </c>
      <c r="O921">
        <v>14.09671533</v>
      </c>
      <c r="P921" s="1">
        <f t="shared" si="186"/>
        <v>4.632243395493182E+94</v>
      </c>
      <c r="Q921" s="1">
        <f t="shared" si="187"/>
        <v>3.2860445054423766E+93</v>
      </c>
    </row>
    <row r="922" spans="1:17" x14ac:dyDescent="0.2">
      <c r="A922">
        <f t="shared" si="188"/>
        <v>921</v>
      </c>
      <c r="B922">
        <f t="shared" si="190"/>
        <v>176.47058823529412</v>
      </c>
      <c r="C922">
        <f t="shared" si="189"/>
        <v>921000</v>
      </c>
      <c r="E922" t="s">
        <v>14</v>
      </c>
      <c r="F922">
        <v>29.15908962</v>
      </c>
      <c r="G922">
        <v>43.429000000000002</v>
      </c>
      <c r="H922">
        <f t="shared" si="181"/>
        <v>0.67141977987059331</v>
      </c>
      <c r="I922">
        <v>1132.1930130000001</v>
      </c>
      <c r="J922">
        <f t="shared" si="182"/>
        <v>1686.2669926379206</v>
      </c>
      <c r="K922" s="1">
        <v>1.68E-6</v>
      </c>
      <c r="L922" s="1">
        <f t="shared" si="183"/>
        <v>92039.256330301359</v>
      </c>
      <c r="M922" s="1">
        <f t="shared" si="184"/>
        <v>806263885.45343995</v>
      </c>
      <c r="N922">
        <f t="shared" si="185"/>
        <v>8.1877270114153096E+27</v>
      </c>
      <c r="O922">
        <v>14.0586983</v>
      </c>
      <c r="P922" s="1">
        <f t="shared" si="186"/>
        <v>7.5359230516618603E+32</v>
      </c>
      <c r="Q922" s="1">
        <f t="shared" si="187"/>
        <v>5.360327742193501E+31</v>
      </c>
    </row>
    <row r="923" spans="1:17" x14ac:dyDescent="0.2">
      <c r="A923">
        <f t="shared" si="188"/>
        <v>922</v>
      </c>
      <c r="B923">
        <f t="shared" si="190"/>
        <v>176.47058823529412</v>
      </c>
      <c r="C923">
        <f t="shared" si="189"/>
        <v>922000</v>
      </c>
      <c r="E923" t="s">
        <v>14</v>
      </c>
      <c r="F923">
        <v>29.153900849999999</v>
      </c>
      <c r="G923">
        <v>43.429000000000002</v>
      </c>
      <c r="H923">
        <f t="shared" si="181"/>
        <v>0.67130030279306452</v>
      </c>
      <c r="I923">
        <v>951.11735910000004</v>
      </c>
      <c r="J923">
        <f t="shared" si="182"/>
        <v>1416.828437500634</v>
      </c>
      <c r="K923" s="1">
        <v>1.68E-6</v>
      </c>
      <c r="L923" s="1">
        <f t="shared" si="183"/>
        <v>92006.503041553951</v>
      </c>
      <c r="M923" s="1">
        <f t="shared" si="184"/>
        <v>805976966.64401257</v>
      </c>
      <c r="N923">
        <f t="shared" si="185"/>
        <v>2.9066347645200729E+23</v>
      </c>
      <c r="O923">
        <v>13.64431265</v>
      </c>
      <c r="P923" s="1">
        <f t="shared" si="186"/>
        <v>2.6742930030250252E+28</v>
      </c>
      <c r="Q923" s="1">
        <f t="shared" si="187"/>
        <v>1.9600056606919113E+27</v>
      </c>
    </row>
    <row r="924" spans="1:17" x14ac:dyDescent="0.2">
      <c r="A924">
        <f t="shared" si="188"/>
        <v>923</v>
      </c>
      <c r="B924">
        <f t="shared" si="190"/>
        <v>176.47058823529412</v>
      </c>
      <c r="C924">
        <f t="shared" si="189"/>
        <v>923000</v>
      </c>
      <c r="E924" t="s">
        <v>14</v>
      </c>
      <c r="F924">
        <v>28.6867126</v>
      </c>
      <c r="G924">
        <v>43.429000000000002</v>
      </c>
      <c r="H924">
        <f t="shared" si="181"/>
        <v>0.66054278477515016</v>
      </c>
      <c r="I924">
        <v>532.04238750000002</v>
      </c>
      <c r="J924">
        <f t="shared" si="182"/>
        <v>805.46241630829127</v>
      </c>
      <c r="K924" s="1">
        <v>1.7600000000000001E-6</v>
      </c>
      <c r="L924" s="1">
        <f t="shared" si="183"/>
        <v>85032.188799914249</v>
      </c>
      <c r="M924" s="1">
        <f t="shared" si="184"/>
        <v>744881973.88724887</v>
      </c>
      <c r="N924">
        <f t="shared" si="185"/>
        <v>23264387466874.547</v>
      </c>
      <c r="O924">
        <v>12.3745438</v>
      </c>
      <c r="P924" s="1">
        <f t="shared" si="186"/>
        <v>1.9782217873976353E+18</v>
      </c>
      <c r="Q924" s="1">
        <f t="shared" si="187"/>
        <v>1.5986219931579501E+17</v>
      </c>
    </row>
    <row r="925" spans="1:17" x14ac:dyDescent="0.2">
      <c r="A925">
        <f t="shared" si="188"/>
        <v>924</v>
      </c>
      <c r="B925">
        <f t="shared" si="190"/>
        <v>176.47058823529412</v>
      </c>
      <c r="C925">
        <f t="shared" si="189"/>
        <v>924000</v>
      </c>
      <c r="E925" t="s">
        <v>14</v>
      </c>
      <c r="F925">
        <v>28.388945880000001</v>
      </c>
      <c r="G925">
        <v>43.429000000000002</v>
      </c>
      <c r="H925">
        <f t="shared" si="181"/>
        <v>0.65368638191070483</v>
      </c>
      <c r="I925">
        <v>597.59067030000006</v>
      </c>
      <c r="J925">
        <f t="shared" si="182"/>
        <v>914.18558935442593</v>
      </c>
      <c r="K925" s="1">
        <v>1.81E-6</v>
      </c>
      <c r="L925" s="1">
        <f t="shared" si="183"/>
        <v>80975.645780198451</v>
      </c>
      <c r="M925" s="1">
        <f t="shared" si="184"/>
        <v>709346657.03453839</v>
      </c>
      <c r="N925">
        <f t="shared" si="185"/>
        <v>1452957360097944.2</v>
      </c>
      <c r="O925">
        <v>11.891727489999999</v>
      </c>
      <c r="P925" s="1">
        <f t="shared" si="186"/>
        <v>1.1765416052502338E+20</v>
      </c>
      <c r="Q925" s="1">
        <f t="shared" si="187"/>
        <v>9.8937820954912748E+18</v>
      </c>
    </row>
    <row r="926" spans="1:17" x14ac:dyDescent="0.2">
      <c r="A926">
        <f t="shared" si="188"/>
        <v>925</v>
      </c>
      <c r="B926">
        <f t="shared" si="190"/>
        <v>176.47058823529412</v>
      </c>
      <c r="C926">
        <f t="shared" si="189"/>
        <v>925000</v>
      </c>
      <c r="E926" t="s">
        <v>14</v>
      </c>
      <c r="F926">
        <v>28.154069719999999</v>
      </c>
      <c r="G926">
        <v>43.429000000000002</v>
      </c>
      <c r="H926">
        <f t="shared" si="181"/>
        <v>0.64827810265030272</v>
      </c>
      <c r="I926">
        <v>250.01841450000001</v>
      </c>
      <c r="J926">
        <f t="shared" si="182"/>
        <v>385.66537027530319</v>
      </c>
      <c r="K926" s="1">
        <v>1.8500000000000001E-6</v>
      </c>
      <c r="L926" s="1">
        <f t="shared" si="183"/>
        <v>77919.309698878715</v>
      </c>
      <c r="M926" s="1">
        <f t="shared" si="184"/>
        <v>682573152.96217752</v>
      </c>
      <c r="N926">
        <f t="shared" si="185"/>
        <v>2714882.0088650463</v>
      </c>
      <c r="O926">
        <v>10.720802920000001</v>
      </c>
      <c r="P926" s="1">
        <f t="shared" si="186"/>
        <v>211541732044.66953</v>
      </c>
      <c r="Q926" s="1">
        <f t="shared" si="187"/>
        <v>19731892622.522858</v>
      </c>
    </row>
    <row r="927" spans="1:17" x14ac:dyDescent="0.2">
      <c r="A927">
        <f t="shared" si="188"/>
        <v>926</v>
      </c>
      <c r="B927">
        <f t="shared" si="190"/>
        <v>176.47058823529412</v>
      </c>
      <c r="C927">
        <f t="shared" si="189"/>
        <v>926000</v>
      </c>
      <c r="E927" t="s">
        <v>14</v>
      </c>
      <c r="F927">
        <v>28.554491689999999</v>
      </c>
      <c r="G927">
        <v>43.429000000000002</v>
      </c>
      <c r="H927">
        <f t="shared" si="181"/>
        <v>0.65749825439222631</v>
      </c>
      <c r="I927">
        <v>1347.7422180000001</v>
      </c>
      <c r="J927">
        <f t="shared" si="182"/>
        <v>2049.8034922477727</v>
      </c>
      <c r="K927" s="1">
        <v>1.7799999999999999E-6</v>
      </c>
      <c r="L927" s="1">
        <f t="shared" si="183"/>
        <v>83303.514833363442</v>
      </c>
      <c r="M927" s="1">
        <f t="shared" si="184"/>
        <v>729738789.94026375</v>
      </c>
      <c r="N927">
        <f t="shared" si="185"/>
        <v>8.2596587591735938E+33</v>
      </c>
      <c r="O927">
        <v>10.161952550000001</v>
      </c>
      <c r="P927" s="1">
        <f t="shared" si="186"/>
        <v>6.8805860596333773E+38</v>
      </c>
      <c r="Q927" s="1">
        <f t="shared" si="187"/>
        <v>6.7709291356938851E+37</v>
      </c>
    </row>
    <row r="928" spans="1:17" x14ac:dyDescent="0.2">
      <c r="A928">
        <f t="shared" si="188"/>
        <v>927</v>
      </c>
      <c r="B928">
        <f t="shared" si="190"/>
        <v>176.47058823529412</v>
      </c>
      <c r="C928">
        <f t="shared" si="189"/>
        <v>927000</v>
      </c>
      <c r="E928" t="s">
        <v>14</v>
      </c>
      <c r="F928">
        <v>28.721534900000002</v>
      </c>
      <c r="G928">
        <v>43.429000000000002</v>
      </c>
      <c r="H928">
        <f t="shared" si="181"/>
        <v>0.66134460613875523</v>
      </c>
      <c r="I928">
        <v>3834.6436100000001</v>
      </c>
      <c r="J928">
        <f t="shared" si="182"/>
        <v>5798.2533983129852</v>
      </c>
      <c r="K928" s="1">
        <v>1.75E-6</v>
      </c>
      <c r="L928" s="1">
        <f t="shared" si="183"/>
        <v>85725.830861489769</v>
      </c>
      <c r="M928" s="1">
        <f t="shared" si="184"/>
        <v>750958278.34665036</v>
      </c>
      <c r="N928">
        <f t="shared" si="185"/>
        <v>6.6457632722537751E+95</v>
      </c>
      <c r="O928">
        <v>11.515358880000001</v>
      </c>
      <c r="P928" s="1">
        <f t="shared" si="186"/>
        <v>5.6971357822272795E+100</v>
      </c>
      <c r="Q928" s="1">
        <f t="shared" si="187"/>
        <v>4.9474235597833829E+99</v>
      </c>
    </row>
    <row r="929" spans="1:17" x14ac:dyDescent="0.2">
      <c r="A929">
        <f t="shared" si="188"/>
        <v>928</v>
      </c>
      <c r="B929">
        <f t="shared" si="190"/>
        <v>176.47058823529412</v>
      </c>
      <c r="C929">
        <f t="shared" si="189"/>
        <v>928000</v>
      </c>
      <c r="E929" t="s">
        <v>14</v>
      </c>
      <c r="F929">
        <v>29.363469510000002</v>
      </c>
      <c r="G929">
        <v>43.429000000000002</v>
      </c>
      <c r="H929">
        <f t="shared" si="181"/>
        <v>0.67612584931727648</v>
      </c>
      <c r="I929">
        <v>397.92598170000002</v>
      </c>
      <c r="J929">
        <f t="shared" si="182"/>
        <v>588.53833513658583</v>
      </c>
      <c r="K929" s="1">
        <v>1.6500000000000001E-6</v>
      </c>
      <c r="L929" s="1">
        <f t="shared" si="183"/>
        <v>95030.990479665401</v>
      </c>
      <c r="M929" s="1">
        <f t="shared" si="184"/>
        <v>832471476.60186887</v>
      </c>
      <c r="N929">
        <f t="shared" si="185"/>
        <v>6084071712.5648718</v>
      </c>
      <c r="O929">
        <v>12.804136250000001</v>
      </c>
      <c r="P929" s="1">
        <f t="shared" si="186"/>
        <v>578175360994353.88</v>
      </c>
      <c r="Q929" s="1">
        <f t="shared" si="187"/>
        <v>45155358370569.812</v>
      </c>
    </row>
    <row r="930" spans="1:17" x14ac:dyDescent="0.2">
      <c r="A930">
        <f t="shared" si="188"/>
        <v>929</v>
      </c>
      <c r="B930">
        <f t="shared" si="190"/>
        <v>176.47058823529412</v>
      </c>
      <c r="C930">
        <f t="shared" si="189"/>
        <v>929000</v>
      </c>
      <c r="E930" t="s">
        <v>14</v>
      </c>
      <c r="F930">
        <v>30.687383140000001</v>
      </c>
      <c r="G930">
        <v>43.429000000000002</v>
      </c>
      <c r="H930">
        <f t="shared" si="181"/>
        <v>0.70661040180524537</v>
      </c>
      <c r="I930">
        <v>532.04238750000002</v>
      </c>
      <c r="J930">
        <f t="shared" si="182"/>
        <v>752.95012094463982</v>
      </c>
      <c r="K930" s="1">
        <v>1.46E-6</v>
      </c>
      <c r="L930" s="1">
        <f t="shared" si="183"/>
        <v>117300.89257479728</v>
      </c>
      <c r="M930" s="1">
        <f t="shared" si="184"/>
        <v>1027555818.9552242</v>
      </c>
      <c r="N930">
        <f t="shared" si="185"/>
        <v>3158290028775.5649</v>
      </c>
      <c r="O930">
        <v>6.6529805350000002</v>
      </c>
      <c r="P930" s="1">
        <f t="shared" si="186"/>
        <v>3.7047023938545594E+17</v>
      </c>
      <c r="Q930" s="1">
        <f t="shared" si="187"/>
        <v>5.5684852441170704E+16</v>
      </c>
    </row>
    <row r="931" spans="1:17" x14ac:dyDescent="0.2">
      <c r="A931">
        <f t="shared" si="188"/>
        <v>930</v>
      </c>
      <c r="B931">
        <f t="shared" si="190"/>
        <v>176.47058823529412</v>
      </c>
      <c r="C931">
        <f t="shared" si="189"/>
        <v>930000</v>
      </c>
      <c r="E931" t="s">
        <v>14</v>
      </c>
      <c r="F931">
        <v>30.522633809999999</v>
      </c>
      <c r="G931">
        <v>43.429000000000002</v>
      </c>
      <c r="H931">
        <f t="shared" si="181"/>
        <v>0.70281686914273866</v>
      </c>
      <c r="I931">
        <v>2023.9899190000001</v>
      </c>
      <c r="J931">
        <f t="shared" si="182"/>
        <v>2879.8254678615826</v>
      </c>
      <c r="K931" s="1">
        <v>1.48E-6</v>
      </c>
      <c r="L931" s="1">
        <f t="shared" si="183"/>
        <v>114476.60958256709</v>
      </c>
      <c r="M931" s="1">
        <f t="shared" si="184"/>
        <v>1002815099.9432877</v>
      </c>
      <c r="N931">
        <f t="shared" si="185"/>
        <v>4.2146362667078815E+47</v>
      </c>
      <c r="O931">
        <v>6.9457116790000004</v>
      </c>
      <c r="P931" s="1">
        <f t="shared" si="186"/>
        <v>4.8247727043644624E+52</v>
      </c>
      <c r="Q931" s="1">
        <f t="shared" si="187"/>
        <v>6.946405101945007E+51</v>
      </c>
    </row>
    <row r="932" spans="1:17" x14ac:dyDescent="0.2">
      <c r="A932">
        <f t="shared" si="188"/>
        <v>931</v>
      </c>
      <c r="B932">
        <f t="shared" si="190"/>
        <v>176.47058823529412</v>
      </c>
      <c r="C932">
        <f t="shared" si="189"/>
        <v>931000</v>
      </c>
      <c r="E932" t="s">
        <v>14</v>
      </c>
      <c r="F932">
        <v>30.243313700000002</v>
      </c>
      <c r="G932">
        <v>43.429000000000002</v>
      </c>
      <c r="H932">
        <f t="shared" si="181"/>
        <v>0.69638521955375443</v>
      </c>
      <c r="I932">
        <v>799.00177810000002</v>
      </c>
      <c r="J932">
        <f t="shared" si="182"/>
        <v>1147.3560260397292</v>
      </c>
      <c r="K932" s="1">
        <v>1.5200000000000001E-6</v>
      </c>
      <c r="L932" s="1">
        <f t="shared" si="183"/>
        <v>109433.33176739162</v>
      </c>
      <c r="M932" s="1">
        <f t="shared" si="184"/>
        <v>958635986.28235054</v>
      </c>
      <c r="N932">
        <f t="shared" si="185"/>
        <v>1.0305247728095265E+19</v>
      </c>
      <c r="O932">
        <v>7.1586070560000001</v>
      </c>
      <c r="P932" s="1">
        <f t="shared" si="186"/>
        <v>1.1277375935738079E+24</v>
      </c>
      <c r="Q932" s="1">
        <f t="shared" si="187"/>
        <v>1.5753589836008562E+23</v>
      </c>
    </row>
    <row r="933" spans="1:17" x14ac:dyDescent="0.2">
      <c r="A933">
        <f t="shared" si="188"/>
        <v>932</v>
      </c>
      <c r="B933">
        <f t="shared" si="190"/>
        <v>176.47058823529412</v>
      </c>
      <c r="C933">
        <f t="shared" si="189"/>
        <v>932000</v>
      </c>
      <c r="E933" t="s">
        <v>14</v>
      </c>
      <c r="F933">
        <v>29.304808860000001</v>
      </c>
      <c r="G933">
        <v>43.429000000000002</v>
      </c>
      <c r="H933">
        <f t="shared" si="181"/>
        <v>0.67477512399548689</v>
      </c>
      <c r="I933">
        <v>2273.3479900000002</v>
      </c>
      <c r="J933">
        <f t="shared" si="182"/>
        <v>3369.0453443793594</v>
      </c>
      <c r="K933" s="1">
        <v>1.66E-6</v>
      </c>
      <c r="L933" s="1">
        <f t="shared" si="183"/>
        <v>94081.484042983007</v>
      </c>
      <c r="M933" s="1">
        <f t="shared" si="184"/>
        <v>824153800.21653116</v>
      </c>
      <c r="N933">
        <f t="shared" si="185"/>
        <v>5.0607811772280377E+55</v>
      </c>
      <c r="O933">
        <v>9.9452554739999997</v>
      </c>
      <c r="P933" s="1">
        <f t="shared" si="186"/>
        <v>4.761258035704084E+60</v>
      </c>
      <c r="Q933" s="1">
        <f t="shared" si="187"/>
        <v>4.7874667957514994E+59</v>
      </c>
    </row>
    <row r="934" spans="1:17" x14ac:dyDescent="0.2">
      <c r="A934">
        <f t="shared" si="188"/>
        <v>933</v>
      </c>
      <c r="B934">
        <f t="shared" si="190"/>
        <v>176.47058823529412</v>
      </c>
      <c r="C934">
        <f t="shared" si="189"/>
        <v>933000</v>
      </c>
      <c r="E934" t="s">
        <v>14</v>
      </c>
      <c r="F934">
        <v>29.292812269999999</v>
      </c>
      <c r="G934">
        <v>43.429000000000002</v>
      </c>
      <c r="H934">
        <f t="shared" si="181"/>
        <v>0.67449888945174874</v>
      </c>
      <c r="I934">
        <v>633.33369760000005</v>
      </c>
      <c r="J934">
        <f t="shared" si="182"/>
        <v>938.96922219514863</v>
      </c>
      <c r="K934" s="1">
        <v>1.66E-6</v>
      </c>
      <c r="L934" s="1">
        <f t="shared" si="183"/>
        <v>94004.471019261051</v>
      </c>
      <c r="M934" s="1">
        <f t="shared" si="184"/>
        <v>823479166.12872684</v>
      </c>
      <c r="N934">
        <f t="shared" si="185"/>
        <v>3728671470105104</v>
      </c>
      <c r="O934">
        <v>10.317822380000001</v>
      </c>
      <c r="P934" s="1">
        <f t="shared" si="186"/>
        <v>3.5051178915184076E+20</v>
      </c>
      <c r="Q934" s="1">
        <f t="shared" si="187"/>
        <v>3.3971488967601394E+19</v>
      </c>
    </row>
    <row r="935" spans="1:17" x14ac:dyDescent="0.2">
      <c r="A935">
        <f t="shared" si="188"/>
        <v>934</v>
      </c>
      <c r="B935">
        <f t="shared" si="190"/>
        <v>176.47058823529412</v>
      </c>
      <c r="C935">
        <f t="shared" si="189"/>
        <v>934000</v>
      </c>
      <c r="E935" t="s">
        <v>14</v>
      </c>
      <c r="F935">
        <v>29.301936489999999</v>
      </c>
      <c r="G935">
        <v>43.429000000000002</v>
      </c>
      <c r="H935">
        <f t="shared" si="181"/>
        <v>0.67470898454949457</v>
      </c>
      <c r="I935">
        <v>2868.012698</v>
      </c>
      <c r="J935">
        <f t="shared" si="182"/>
        <v>4250.7403394294233</v>
      </c>
      <c r="K935" s="1">
        <v>1.66E-6</v>
      </c>
      <c r="L935" s="1">
        <f t="shared" si="183"/>
        <v>94063.041773681252</v>
      </c>
      <c r="M935" s="1">
        <f t="shared" si="184"/>
        <v>823992245.93744779</v>
      </c>
      <c r="N935">
        <f t="shared" si="185"/>
        <v>1.8424450341977925E+70</v>
      </c>
      <c r="O935">
        <v>10.732208030000001</v>
      </c>
      <c r="P935" s="1">
        <f t="shared" si="186"/>
        <v>1.7330598421745854E+75</v>
      </c>
      <c r="Q935" s="1">
        <f t="shared" si="187"/>
        <v>1.6148213278480265E+74</v>
      </c>
    </row>
    <row r="936" spans="1:17" x14ac:dyDescent="0.2">
      <c r="A936">
        <f t="shared" si="188"/>
        <v>935</v>
      </c>
      <c r="B936">
        <f t="shared" si="190"/>
        <v>176.47058823529412</v>
      </c>
      <c r="C936">
        <f t="shared" si="189"/>
        <v>935000</v>
      </c>
      <c r="E936" t="s">
        <v>14</v>
      </c>
      <c r="F936">
        <v>28.7577824</v>
      </c>
      <c r="G936">
        <v>43.429000000000002</v>
      </c>
      <c r="H936">
        <f t="shared" si="181"/>
        <v>0.6621792442837735</v>
      </c>
      <c r="I936">
        <v>532.04238750000002</v>
      </c>
      <c r="J936">
        <f t="shared" si="182"/>
        <v>803.47185764704523</v>
      </c>
      <c r="K936" s="1">
        <v>1.75E-6</v>
      </c>
      <c r="L936" s="1">
        <f t="shared" si="183"/>
        <v>85942.344905804959</v>
      </c>
      <c r="M936" s="1">
        <f t="shared" si="184"/>
        <v>752854941.37485147</v>
      </c>
      <c r="N936">
        <f t="shared" si="185"/>
        <v>21568382752173.672</v>
      </c>
      <c r="O936">
        <v>10.43187348</v>
      </c>
      <c r="P936" s="1">
        <f t="shared" si="186"/>
        <v>1.8536373895477245E+18</v>
      </c>
      <c r="Q936" s="1">
        <f t="shared" si="187"/>
        <v>1.7768978823425344E+17</v>
      </c>
    </row>
    <row r="937" spans="1:17" x14ac:dyDescent="0.2">
      <c r="A937">
        <f t="shared" si="188"/>
        <v>936</v>
      </c>
      <c r="B937">
        <f t="shared" si="190"/>
        <v>176.47058823529412</v>
      </c>
      <c r="C937">
        <f t="shared" si="189"/>
        <v>936000</v>
      </c>
      <c r="E937" t="s">
        <v>14</v>
      </c>
      <c r="F937">
        <v>28.596125650000001</v>
      </c>
      <c r="G937">
        <v>43.429000000000002</v>
      </c>
      <c r="H937">
        <f t="shared" si="181"/>
        <v>0.65845692164222058</v>
      </c>
      <c r="I937">
        <v>753.90905290000001</v>
      </c>
      <c r="J937">
        <f t="shared" si="182"/>
        <v>1144.963365287007</v>
      </c>
      <c r="K937" s="1">
        <v>1.77E-6</v>
      </c>
      <c r="L937" s="1">
        <f t="shared" si="183"/>
        <v>84018.628563210426</v>
      </c>
      <c r="M937" s="1">
        <f t="shared" si="184"/>
        <v>736003186.2137233</v>
      </c>
      <c r="N937">
        <f t="shared" si="185"/>
        <v>9.4090047324572406E+18</v>
      </c>
      <c r="O937">
        <v>9.1050790750000008</v>
      </c>
      <c r="P937" s="1">
        <f t="shared" si="186"/>
        <v>7.9053167376581394E+23</v>
      </c>
      <c r="Q937" s="1">
        <f t="shared" si="187"/>
        <v>8.6823153017571552E+22</v>
      </c>
    </row>
    <row r="938" spans="1:17" x14ac:dyDescent="0.2">
      <c r="A938">
        <f t="shared" si="188"/>
        <v>937</v>
      </c>
      <c r="B938">
        <f t="shared" si="190"/>
        <v>176.47058823529412</v>
      </c>
      <c r="C938">
        <f t="shared" si="189"/>
        <v>937000</v>
      </c>
      <c r="E938" t="s">
        <v>14</v>
      </c>
      <c r="F938">
        <v>28.94678223</v>
      </c>
      <c r="G938">
        <v>43.429000000000002</v>
      </c>
      <c r="H938">
        <f t="shared" si="181"/>
        <v>0.666531171106864</v>
      </c>
      <c r="I938">
        <v>354.27843819999998</v>
      </c>
      <c r="J938">
        <f t="shared" si="182"/>
        <v>531.52568635563341</v>
      </c>
      <c r="K938" s="1">
        <v>1.72E-6</v>
      </c>
      <c r="L938" s="1">
        <f t="shared" si="183"/>
        <v>88594.467503244799</v>
      </c>
      <c r="M938" s="1">
        <f t="shared" si="184"/>
        <v>776087535.32842445</v>
      </c>
      <c r="N938">
        <f t="shared" si="185"/>
        <v>696035604.04950261</v>
      </c>
      <c r="O938">
        <v>8.1660583940000002</v>
      </c>
      <c r="P938" s="1">
        <f t="shared" si="186"/>
        <v>61664903704065.023</v>
      </c>
      <c r="Q938" s="1">
        <f t="shared" si="187"/>
        <v>7551366978880.9277</v>
      </c>
    </row>
    <row r="939" spans="1:17" x14ac:dyDescent="0.2">
      <c r="A939">
        <f t="shared" si="188"/>
        <v>938</v>
      </c>
      <c r="B939">
        <f t="shared" si="190"/>
        <v>176.47058823529412</v>
      </c>
      <c r="C939">
        <f t="shared" si="189"/>
        <v>938000</v>
      </c>
      <c r="E939" t="s">
        <v>14</v>
      </c>
      <c r="F939">
        <v>28.77420862</v>
      </c>
      <c r="G939">
        <v>43.429000000000002</v>
      </c>
      <c r="H939">
        <f t="shared" si="181"/>
        <v>0.66255747588017222</v>
      </c>
      <c r="I939">
        <v>1347.7422180000001</v>
      </c>
      <c r="J939">
        <f t="shared" si="182"/>
        <v>2034.1514012948032</v>
      </c>
      <c r="K939" s="1">
        <v>1.7400000000000001E-6</v>
      </c>
      <c r="L939" s="1">
        <f t="shared" si="183"/>
        <v>86535.038065364279</v>
      </c>
      <c r="M939" s="1">
        <f t="shared" si="184"/>
        <v>758046933.45259106</v>
      </c>
      <c r="N939">
        <f t="shared" si="185"/>
        <v>4.5547873381247455E+33</v>
      </c>
      <c r="O939">
        <v>9.2533454989999999</v>
      </c>
      <c r="P939" s="1">
        <f t="shared" si="186"/>
        <v>3.9414869568426406E+38</v>
      </c>
      <c r="Q939" s="1">
        <f t="shared" si="187"/>
        <v>4.259526413737165E+37</v>
      </c>
    </row>
    <row r="940" spans="1:17" x14ac:dyDescent="0.2">
      <c r="A940">
        <f t="shared" si="188"/>
        <v>939</v>
      </c>
      <c r="B940">
        <f t="shared" si="190"/>
        <v>176.47058823529412</v>
      </c>
      <c r="C940">
        <f t="shared" si="189"/>
        <v>939000</v>
      </c>
      <c r="E940" t="s">
        <v>14</v>
      </c>
      <c r="F940">
        <v>28.695702130000001</v>
      </c>
      <c r="G940">
        <v>43.429000000000002</v>
      </c>
      <c r="H940">
        <f t="shared" si="181"/>
        <v>0.66074977848902805</v>
      </c>
      <c r="I940">
        <v>951.11735910000004</v>
      </c>
      <c r="J940">
        <f t="shared" si="182"/>
        <v>1439.4516503281636</v>
      </c>
      <c r="K940" s="1">
        <v>1.7600000000000001E-6</v>
      </c>
      <c r="L940" s="1">
        <f t="shared" si="183"/>
        <v>85085.490075137364</v>
      </c>
      <c r="M940" s="1">
        <f t="shared" si="184"/>
        <v>745348893.05820334</v>
      </c>
      <c r="N940">
        <f t="shared" si="185"/>
        <v>6.8708808349899E+23</v>
      </c>
      <c r="O940">
        <v>13.625304140000001</v>
      </c>
      <c r="P940" s="1">
        <f t="shared" si="186"/>
        <v>5.8461226309298463E+28</v>
      </c>
      <c r="Q940" s="1">
        <f t="shared" si="187"/>
        <v>4.2906364297346582E+27</v>
      </c>
    </row>
    <row r="941" spans="1:17" x14ac:dyDescent="0.2">
      <c r="A941">
        <f t="shared" si="188"/>
        <v>940</v>
      </c>
      <c r="B941">
        <f t="shared" si="190"/>
        <v>176.47058823529412</v>
      </c>
      <c r="C941">
        <f t="shared" si="189"/>
        <v>940000</v>
      </c>
      <c r="E941" t="s">
        <v>14</v>
      </c>
      <c r="F941">
        <v>28.931120100000001</v>
      </c>
      <c r="G941">
        <v>43.429000000000002</v>
      </c>
      <c r="H941">
        <f t="shared" si="181"/>
        <v>0.66617053351447186</v>
      </c>
      <c r="I941">
        <v>563.86484810000002</v>
      </c>
      <c r="J941">
        <f t="shared" si="182"/>
        <v>846.42718302962976</v>
      </c>
      <c r="K941" s="1">
        <v>1.72E-6</v>
      </c>
      <c r="L941" s="1">
        <f t="shared" si="183"/>
        <v>88498.622468008092</v>
      </c>
      <c r="M941" s="1">
        <f t="shared" si="184"/>
        <v>775247932.81975091</v>
      </c>
      <c r="N941">
        <f t="shared" si="185"/>
        <v>110464824728700.92</v>
      </c>
      <c r="O941">
        <v>13.594890510000001</v>
      </c>
      <c r="P941" s="1">
        <f t="shared" si="186"/>
        <v>9.7759848196599869E+18</v>
      </c>
      <c r="Q941" s="1">
        <f t="shared" si="187"/>
        <v>7.1909257470437594E+17</v>
      </c>
    </row>
    <row r="942" spans="1:17" x14ac:dyDescent="0.2">
      <c r="A942">
        <f t="shared" si="188"/>
        <v>941</v>
      </c>
      <c r="B942">
        <f t="shared" si="190"/>
        <v>176.47058823529412</v>
      </c>
      <c r="C942">
        <f t="shared" si="189"/>
        <v>941000</v>
      </c>
      <c r="E942" t="s">
        <v>14</v>
      </c>
      <c r="F942">
        <v>31.188135039999999</v>
      </c>
      <c r="G942">
        <v>43.429000000000002</v>
      </c>
      <c r="H942">
        <f t="shared" si="181"/>
        <v>0.71814075940040056</v>
      </c>
      <c r="I942">
        <v>633.33369760000005</v>
      </c>
      <c r="J942">
        <f t="shared" si="182"/>
        <v>881.90746634238008</v>
      </c>
      <c r="K942" s="1">
        <v>1.39E-6</v>
      </c>
      <c r="L942" s="1">
        <f t="shared" si="183"/>
        <v>127261.92054466126</v>
      </c>
      <c r="M942" s="1">
        <f t="shared" si="184"/>
        <v>1114814423.9712327</v>
      </c>
      <c r="N942">
        <f t="shared" si="185"/>
        <v>425775089014224.5</v>
      </c>
      <c r="O942">
        <v>5.5656934309999997</v>
      </c>
      <c r="P942" s="1">
        <f t="shared" si="186"/>
        <v>5.4184955548024316E+19</v>
      </c>
      <c r="Q942" s="1">
        <f t="shared" si="187"/>
        <v>9.735526438848213E+18</v>
      </c>
    </row>
    <row r="943" spans="1:17" x14ac:dyDescent="0.2">
      <c r="A943">
        <f t="shared" si="188"/>
        <v>942</v>
      </c>
      <c r="B943">
        <f t="shared" si="190"/>
        <v>176.47058823529412</v>
      </c>
      <c r="C943">
        <f t="shared" si="189"/>
        <v>942000</v>
      </c>
      <c r="E943" t="s">
        <v>14</v>
      </c>
      <c r="F943">
        <v>31.28024782</v>
      </c>
      <c r="G943">
        <v>43.429000000000002</v>
      </c>
      <c r="H943">
        <f t="shared" si="181"/>
        <v>0.7202617564300352</v>
      </c>
      <c r="I943">
        <v>473.68393809999998</v>
      </c>
      <c r="J943">
        <f t="shared" si="182"/>
        <v>657.65526750692152</v>
      </c>
      <c r="K943" s="1">
        <v>1.3799999999999999E-6</v>
      </c>
      <c r="L943" s="1">
        <f t="shared" si="183"/>
        <v>128942.39872250581</v>
      </c>
      <c r="M943" s="1">
        <f t="shared" si="184"/>
        <v>1129535412.8091509</v>
      </c>
      <c r="N943">
        <f t="shared" si="185"/>
        <v>84267327183.996231</v>
      </c>
      <c r="O943">
        <v>5.7671836980000002</v>
      </c>
      <c r="P943" s="1">
        <f t="shared" si="186"/>
        <v>1.0865631301038694E+16</v>
      </c>
      <c r="Q943" s="1">
        <f t="shared" si="187"/>
        <v>1884044599586238.8</v>
      </c>
    </row>
    <row r="944" spans="1:17" x14ac:dyDescent="0.2">
      <c r="A944">
        <f t="shared" si="188"/>
        <v>943</v>
      </c>
      <c r="B944">
        <f t="shared" si="190"/>
        <v>176.47058823529412</v>
      </c>
      <c r="C944">
        <f t="shared" si="189"/>
        <v>943000</v>
      </c>
      <c r="E944" t="s">
        <v>14</v>
      </c>
      <c r="F944">
        <v>30.531397680000001</v>
      </c>
      <c r="G944">
        <v>43.429000000000002</v>
      </c>
      <c r="H944">
        <f t="shared" si="181"/>
        <v>0.70301866678947245</v>
      </c>
      <c r="I944">
        <v>1132.1930130000001</v>
      </c>
      <c r="J944">
        <f t="shared" si="182"/>
        <v>1610.4736139802233</v>
      </c>
      <c r="K944" s="1">
        <v>1.48E-6</v>
      </c>
      <c r="L944" s="1">
        <f t="shared" si="183"/>
        <v>114542.35765410501</v>
      </c>
      <c r="M944" s="1">
        <f t="shared" si="184"/>
        <v>1003391053.0499599</v>
      </c>
      <c r="N944">
        <f t="shared" si="185"/>
        <v>4.5860318794189333E+26</v>
      </c>
      <c r="O944">
        <v>6.6947992699999999</v>
      </c>
      <c r="P944" s="1">
        <f t="shared" si="186"/>
        <v>5.2529490374553082E+31</v>
      </c>
      <c r="Q944" s="1">
        <f t="shared" si="187"/>
        <v>7.8463129746014154E+30</v>
      </c>
    </row>
    <row r="945" spans="1:17" x14ac:dyDescent="0.2">
      <c r="A945">
        <f t="shared" si="188"/>
        <v>944</v>
      </c>
      <c r="B945">
        <f t="shared" si="190"/>
        <v>176.47058823529412</v>
      </c>
      <c r="C945">
        <f t="shared" si="189"/>
        <v>944000</v>
      </c>
      <c r="E945" t="s">
        <v>14</v>
      </c>
      <c r="F945">
        <v>30.28971439</v>
      </c>
      <c r="G945">
        <v>43.429000000000002</v>
      </c>
      <c r="H945">
        <f t="shared" si="181"/>
        <v>0.69745364595086234</v>
      </c>
      <c r="I945">
        <v>2023.9899190000001</v>
      </c>
      <c r="J945">
        <f t="shared" si="182"/>
        <v>2901.9705191169023</v>
      </c>
      <c r="K945" s="1">
        <v>1.5099999999999999E-6</v>
      </c>
      <c r="L945" s="1">
        <f t="shared" si="183"/>
        <v>110496.33428463692</v>
      </c>
      <c r="M945" s="1">
        <f t="shared" si="184"/>
        <v>967947888.33341944</v>
      </c>
      <c r="N945">
        <f t="shared" si="185"/>
        <v>9.7832966624797912E+47</v>
      </c>
      <c r="O945">
        <v>6.9381082730000001</v>
      </c>
      <c r="P945" s="1">
        <f t="shared" si="186"/>
        <v>1.0810184184231396E+53</v>
      </c>
      <c r="Q945" s="1">
        <f t="shared" si="187"/>
        <v>1.5580881356809862E+52</v>
      </c>
    </row>
    <row r="946" spans="1:17" x14ac:dyDescent="0.2">
      <c r="A946">
        <f t="shared" si="188"/>
        <v>945</v>
      </c>
      <c r="B946">
        <f t="shared" si="190"/>
        <v>176.47058823529412</v>
      </c>
      <c r="C946">
        <f t="shared" si="189"/>
        <v>945000</v>
      </c>
      <c r="E946" t="s">
        <v>14</v>
      </c>
      <c r="F946">
        <v>30.194075009999999</v>
      </c>
      <c r="G946">
        <v>43.429000000000002</v>
      </c>
      <c r="H946">
        <f t="shared" si="181"/>
        <v>0.69525144511731785</v>
      </c>
      <c r="I946">
        <v>1428.3532270000001</v>
      </c>
      <c r="J946">
        <f t="shared" si="182"/>
        <v>2054.4412198366267</v>
      </c>
      <c r="K946" s="1">
        <v>1.53E-6</v>
      </c>
      <c r="L946" s="1">
        <f t="shared" si="183"/>
        <v>108364.36482002457</v>
      </c>
      <c r="M946" s="1">
        <f t="shared" si="184"/>
        <v>949271835.82341516</v>
      </c>
      <c r="N946">
        <f t="shared" si="185"/>
        <v>9.8526735360991299E+33</v>
      </c>
      <c r="O946">
        <v>7.0635644769999999</v>
      </c>
      <c r="P946" s="1">
        <f t="shared" si="186"/>
        <v>1.0676787095184476E+39</v>
      </c>
      <c r="Q946" s="1">
        <f t="shared" si="187"/>
        <v>1.5115296434186534E+38</v>
      </c>
    </row>
    <row r="947" spans="1:17" x14ac:dyDescent="0.2">
      <c r="A947">
        <f t="shared" si="188"/>
        <v>946</v>
      </c>
      <c r="B947">
        <f t="shared" si="190"/>
        <v>176.47058823529412</v>
      </c>
      <c r="C947">
        <f t="shared" si="189"/>
        <v>946000</v>
      </c>
      <c r="E947" t="s">
        <v>14</v>
      </c>
      <c r="F947">
        <v>30.271895919999999</v>
      </c>
      <c r="G947">
        <v>43.429000000000002</v>
      </c>
      <c r="H947">
        <f t="shared" si="181"/>
        <v>0.69704335628266822</v>
      </c>
      <c r="I947">
        <v>3414.0307790000002</v>
      </c>
      <c r="J947">
        <f t="shared" si="182"/>
        <v>4897.8743549139099</v>
      </c>
      <c r="K947" s="1">
        <v>1.5099999999999999E-6</v>
      </c>
      <c r="L947" s="1">
        <f t="shared" si="183"/>
        <v>110366.36960560778</v>
      </c>
      <c r="M947" s="1">
        <f t="shared" si="184"/>
        <v>966809397.7451241</v>
      </c>
      <c r="N947">
        <f t="shared" si="185"/>
        <v>8.9701801226029248E+80</v>
      </c>
      <c r="O947">
        <v>7.565389294</v>
      </c>
      <c r="P947" s="1">
        <f t="shared" si="186"/>
        <v>9.9000621484007051E+85</v>
      </c>
      <c r="Q947" s="1">
        <f t="shared" si="187"/>
        <v>1.3085991696755513E+85</v>
      </c>
    </row>
    <row r="948" spans="1:17" x14ac:dyDescent="0.2">
      <c r="A948">
        <f t="shared" si="188"/>
        <v>947</v>
      </c>
      <c r="B948">
        <f t="shared" si="190"/>
        <v>176.47058823529412</v>
      </c>
      <c r="C948">
        <f t="shared" si="189"/>
        <v>947000</v>
      </c>
      <c r="E948" t="s">
        <v>14</v>
      </c>
      <c r="F948">
        <v>30.206948820000001</v>
      </c>
      <c r="G948">
        <v>43.429000000000002</v>
      </c>
      <c r="H948">
        <f t="shared" si="181"/>
        <v>0.69554787860646106</v>
      </c>
      <c r="I948">
        <v>1428.3532270000001</v>
      </c>
      <c r="J948">
        <f t="shared" si="182"/>
        <v>2053.5656436214335</v>
      </c>
      <c r="K948" s="1">
        <v>1.5200000000000001E-6</v>
      </c>
      <c r="L948" s="1">
        <f t="shared" si="183"/>
        <v>109170.32239595018</v>
      </c>
      <c r="M948" s="1">
        <f t="shared" si="184"/>
        <v>956332024.18852353</v>
      </c>
      <c r="N948">
        <f t="shared" si="185"/>
        <v>9.5300234094089039E+33</v>
      </c>
      <c r="O948">
        <v>7.5159671530000001</v>
      </c>
      <c r="P948" s="1">
        <f t="shared" si="186"/>
        <v>1.0403957280461223E+39</v>
      </c>
      <c r="Q948" s="1">
        <f t="shared" si="187"/>
        <v>1.3842473055923989E+38</v>
      </c>
    </row>
    <row r="949" spans="1:17" x14ac:dyDescent="0.2">
      <c r="A949">
        <f t="shared" si="188"/>
        <v>948</v>
      </c>
      <c r="B949">
        <f t="shared" si="190"/>
        <v>176.47058823529412</v>
      </c>
      <c r="C949">
        <f t="shared" si="189"/>
        <v>948000</v>
      </c>
      <c r="E949" t="s">
        <v>14</v>
      </c>
      <c r="F949">
        <v>30.127493149999999</v>
      </c>
      <c r="G949">
        <v>43.429000000000002</v>
      </c>
      <c r="H949">
        <f t="shared" si="181"/>
        <v>0.69371832531257915</v>
      </c>
      <c r="I949">
        <v>3834.6436100000001</v>
      </c>
      <c r="J949">
        <f t="shared" si="182"/>
        <v>5527.6665904308738</v>
      </c>
      <c r="K949" s="1">
        <v>1.53E-6</v>
      </c>
      <c r="L949" s="1">
        <f t="shared" si="183"/>
        <v>107886.97673330057</v>
      </c>
      <c r="M949" s="1">
        <f t="shared" si="184"/>
        <v>945089916.18371308</v>
      </c>
      <c r="N949">
        <f t="shared" si="185"/>
        <v>2.2584402389998544E+91</v>
      </c>
      <c r="O949">
        <v>7.5007603410000003</v>
      </c>
      <c r="P949" s="1">
        <f t="shared" si="186"/>
        <v>2.4365628951852707E+96</v>
      </c>
      <c r="Q949" s="1">
        <f t="shared" si="187"/>
        <v>3.2484212058699485E+95</v>
      </c>
    </row>
    <row r="950" spans="1:17" x14ac:dyDescent="0.2">
      <c r="A950">
        <f t="shared" si="188"/>
        <v>949</v>
      </c>
      <c r="B950">
        <f t="shared" si="190"/>
        <v>176.47058823529412</v>
      </c>
      <c r="C950">
        <f t="shared" si="189"/>
        <v>949000</v>
      </c>
      <c r="E950" t="s">
        <v>14</v>
      </c>
      <c r="F950">
        <v>29.661480900000001</v>
      </c>
      <c r="G950">
        <v>43.429000000000002</v>
      </c>
      <c r="H950">
        <f t="shared" si="181"/>
        <v>0.68298788597480942</v>
      </c>
      <c r="I950">
        <v>597.59067030000006</v>
      </c>
      <c r="J950">
        <f t="shared" si="182"/>
        <v>874.96525571178427</v>
      </c>
      <c r="K950" s="1">
        <v>1.5999999999999999E-6</v>
      </c>
      <c r="L950" s="1">
        <f t="shared" si="183"/>
        <v>100000.03198075024</v>
      </c>
      <c r="M950" s="1">
        <f t="shared" si="184"/>
        <v>876000280.15137208</v>
      </c>
      <c r="N950">
        <f t="shared" si="185"/>
        <v>326986456361603.44</v>
      </c>
      <c r="O950">
        <v>8.7325121649999993</v>
      </c>
      <c r="P950" s="1">
        <f t="shared" si="186"/>
        <v>3.2698656093432537E+19</v>
      </c>
      <c r="Q950" s="1">
        <f t="shared" si="187"/>
        <v>3.7444730079494303E+18</v>
      </c>
    </row>
    <row r="951" spans="1:17" x14ac:dyDescent="0.2">
      <c r="A951">
        <f t="shared" si="188"/>
        <v>950</v>
      </c>
      <c r="B951">
        <f t="shared" si="190"/>
        <v>176.47058823529412</v>
      </c>
      <c r="C951">
        <f t="shared" si="189"/>
        <v>950000</v>
      </c>
      <c r="E951" t="s">
        <v>14</v>
      </c>
      <c r="F951">
        <v>29.522467259999999</v>
      </c>
      <c r="G951">
        <v>43.429000000000002</v>
      </c>
      <c r="H951">
        <f t="shared" si="181"/>
        <v>0.67978694558935271</v>
      </c>
      <c r="I951">
        <v>563.86484810000002</v>
      </c>
      <c r="J951">
        <f t="shared" si="182"/>
        <v>829.47289846989918</v>
      </c>
      <c r="K951" s="1">
        <v>1.6199999999999999E-6</v>
      </c>
      <c r="L951" s="1">
        <f t="shared" si="183"/>
        <v>97841.870338296096</v>
      </c>
      <c r="M951" s="1">
        <f t="shared" si="184"/>
        <v>857094784.16347384</v>
      </c>
      <c r="N951">
        <f t="shared" si="185"/>
        <v>57972803559958.547</v>
      </c>
      <c r="O951">
        <v>9.2647506079999999</v>
      </c>
      <c r="P951" s="1">
        <f t="shared" si="186"/>
        <v>5.6721675290609746E+18</v>
      </c>
      <c r="Q951" s="1">
        <f t="shared" si="187"/>
        <v>6.1223099995407616E+17</v>
      </c>
    </row>
    <row r="952" spans="1:17" x14ac:dyDescent="0.2">
      <c r="A952">
        <f t="shared" si="188"/>
        <v>951</v>
      </c>
      <c r="B952">
        <f t="shared" si="190"/>
        <v>176.47058823529412</v>
      </c>
      <c r="C952">
        <f t="shared" si="189"/>
        <v>951000</v>
      </c>
      <c r="E952" t="s">
        <v>14</v>
      </c>
      <c r="F952">
        <v>29.437735799999999</v>
      </c>
      <c r="G952">
        <v>43.429000000000002</v>
      </c>
      <c r="H952">
        <f t="shared" si="181"/>
        <v>0.67783591148771549</v>
      </c>
      <c r="I952">
        <v>473.68393809999998</v>
      </c>
      <c r="J952">
        <f t="shared" si="182"/>
        <v>698.81800310691358</v>
      </c>
      <c r="K952" s="1">
        <v>1.64E-6</v>
      </c>
      <c r="L952" s="1">
        <f t="shared" si="183"/>
        <v>96094.696558242111</v>
      </c>
      <c r="M952" s="1">
        <f t="shared" si="184"/>
        <v>841789541.85020089</v>
      </c>
      <c r="N952">
        <f t="shared" si="185"/>
        <v>403144794958.70947</v>
      </c>
      <c r="O952">
        <v>9.3217761560000003</v>
      </c>
      <c r="P952" s="1">
        <f t="shared" si="186"/>
        <v>3.874007674059192E+16</v>
      </c>
      <c r="Q952" s="1">
        <f t="shared" si="187"/>
        <v>4155868591165076</v>
      </c>
    </row>
    <row r="953" spans="1:17" x14ac:dyDescent="0.2">
      <c r="A953">
        <f t="shared" si="188"/>
        <v>952</v>
      </c>
      <c r="B953">
        <f t="shared" si="190"/>
        <v>176.47058823529412</v>
      </c>
      <c r="C953">
        <f t="shared" si="189"/>
        <v>952000</v>
      </c>
      <c r="E953" t="s">
        <v>14</v>
      </c>
      <c r="F953">
        <v>29.391998569999998</v>
      </c>
      <c r="G953">
        <v>43.429000000000002</v>
      </c>
      <c r="H953">
        <f t="shared" si="181"/>
        <v>0.67678276197932252</v>
      </c>
      <c r="I953">
        <v>473.68393809999998</v>
      </c>
      <c r="J953">
        <f t="shared" si="182"/>
        <v>699.90544190969251</v>
      </c>
      <c r="K953" s="1">
        <v>1.64E-6</v>
      </c>
      <c r="L953" s="1">
        <f t="shared" si="183"/>
        <v>95796.325043255856</v>
      </c>
      <c r="M953" s="1">
        <f t="shared" si="184"/>
        <v>839175807.37892127</v>
      </c>
      <c r="N953">
        <f t="shared" si="185"/>
        <v>420165209587.72571</v>
      </c>
      <c r="O953">
        <v>9.5650851580000005</v>
      </c>
      <c r="P953" s="1">
        <f t="shared" si="186"/>
        <v>4.0250282989533496E+16</v>
      </c>
      <c r="Q953" s="1">
        <f t="shared" si="187"/>
        <v>4208042304345733.5</v>
      </c>
    </row>
    <row r="954" spans="1:17" x14ac:dyDescent="0.2">
      <c r="A954">
        <f t="shared" si="188"/>
        <v>953</v>
      </c>
      <c r="B954">
        <f t="shared" si="190"/>
        <v>176.47058823529412</v>
      </c>
      <c r="C954">
        <f t="shared" si="189"/>
        <v>953000</v>
      </c>
      <c r="E954" t="s">
        <v>14</v>
      </c>
      <c r="F954">
        <v>29.175964870000001</v>
      </c>
      <c r="G954">
        <v>43.429000000000002</v>
      </c>
      <c r="H954">
        <f t="shared" si="181"/>
        <v>0.67180835087153745</v>
      </c>
      <c r="I954">
        <v>421.72668670000002</v>
      </c>
      <c r="J954">
        <f t="shared" si="182"/>
        <v>627.74850320466203</v>
      </c>
      <c r="K954" s="1">
        <v>1.68E-6</v>
      </c>
      <c r="L954" s="1">
        <f t="shared" si="183"/>
        <v>92145.818978066687</v>
      </c>
      <c r="M954" s="1">
        <f t="shared" si="184"/>
        <v>807197374.24786413</v>
      </c>
      <c r="N954">
        <f t="shared" si="185"/>
        <v>27023994550.23209</v>
      </c>
      <c r="O954">
        <v>9.9148418490000001</v>
      </c>
      <c r="P954" s="1">
        <f t="shared" si="186"/>
        <v>2490148109889947</v>
      </c>
      <c r="Q954" s="1">
        <f t="shared" si="187"/>
        <v>251153588510451.19</v>
      </c>
    </row>
    <row r="955" spans="1:17" x14ac:dyDescent="0.2">
      <c r="A955">
        <f t="shared" si="188"/>
        <v>954</v>
      </c>
      <c r="B955">
        <f t="shared" si="190"/>
        <v>176.47058823529412</v>
      </c>
      <c r="C955">
        <f t="shared" si="189"/>
        <v>954000</v>
      </c>
      <c r="E955" t="s">
        <v>14</v>
      </c>
      <c r="F955">
        <v>29.26748825</v>
      </c>
      <c r="G955">
        <v>43.429000000000002</v>
      </c>
      <c r="H955">
        <f t="shared" si="181"/>
        <v>0.67391577632457567</v>
      </c>
      <c r="I955">
        <v>711.36119550000001</v>
      </c>
      <c r="J955">
        <f t="shared" si="182"/>
        <v>1055.5639450669123</v>
      </c>
      <c r="K955" s="1">
        <v>1.66E-6</v>
      </c>
      <c r="L955" s="1">
        <f t="shared" si="183"/>
        <v>93842.005082921911</v>
      </c>
      <c r="M955" s="1">
        <f t="shared" si="184"/>
        <v>822055964.52639592</v>
      </c>
      <c r="N955">
        <f t="shared" si="185"/>
        <v>3.1413322313869856E+17</v>
      </c>
      <c r="O955">
        <v>10.15815085</v>
      </c>
      <c r="P955" s="1">
        <f t="shared" si="186"/>
        <v>2.9478891522496391E+22</v>
      </c>
      <c r="Q955" s="1">
        <f t="shared" si="187"/>
        <v>2.9019938724867814E+21</v>
      </c>
    </row>
    <row r="956" spans="1:17" x14ac:dyDescent="0.2">
      <c r="A956">
        <f t="shared" si="188"/>
        <v>955</v>
      </c>
      <c r="B956">
        <f t="shared" si="190"/>
        <v>176.47058823529412</v>
      </c>
      <c r="C956">
        <f t="shared" si="189"/>
        <v>955000</v>
      </c>
      <c r="E956" t="s">
        <v>14</v>
      </c>
      <c r="F956">
        <v>29.22170444</v>
      </c>
      <c r="G956">
        <v>43.429000000000002</v>
      </c>
      <c r="H956">
        <f t="shared" si="181"/>
        <v>0.6728615542609776</v>
      </c>
      <c r="I956">
        <v>354.27843819999998</v>
      </c>
      <c r="J956">
        <f t="shared" si="182"/>
        <v>526.52501239889352</v>
      </c>
      <c r="K956" s="1">
        <v>1.6700000000000001E-6</v>
      </c>
      <c r="L956" s="1">
        <f t="shared" si="183"/>
        <v>92988.46480386646</v>
      </c>
      <c r="M956" s="1">
        <f t="shared" si="184"/>
        <v>814578951.68187022</v>
      </c>
      <c r="N956">
        <f t="shared" si="185"/>
        <v>575500115.40054297</v>
      </c>
      <c r="O956">
        <v>10.481295619999999</v>
      </c>
      <c r="P956" s="1">
        <f t="shared" si="186"/>
        <v>53514872225544.477</v>
      </c>
      <c r="Q956" s="1">
        <f t="shared" si="187"/>
        <v>5105749724626.5518</v>
      </c>
    </row>
    <row r="957" spans="1:17" x14ac:dyDescent="0.2">
      <c r="A957">
        <f t="shared" si="188"/>
        <v>956</v>
      </c>
      <c r="B957">
        <f t="shared" si="190"/>
        <v>176.47058823529412</v>
      </c>
      <c r="C957">
        <f t="shared" si="189"/>
        <v>956000</v>
      </c>
      <c r="E957" t="s">
        <v>14</v>
      </c>
      <c r="F957">
        <v>28.928692170000001</v>
      </c>
      <c r="G957">
        <v>43.429000000000002</v>
      </c>
      <c r="H957">
        <f t="shared" si="181"/>
        <v>0.66611462778327846</v>
      </c>
      <c r="I957">
        <v>563.86484810000002</v>
      </c>
      <c r="J957">
        <f t="shared" si="182"/>
        <v>846.49822204993586</v>
      </c>
      <c r="K957" s="1">
        <v>1.72E-6</v>
      </c>
      <c r="L957" s="1">
        <f t="shared" si="183"/>
        <v>88483.769296495055</v>
      </c>
      <c r="M957" s="1">
        <f t="shared" si="184"/>
        <v>775117819.03729665</v>
      </c>
      <c r="N957">
        <f t="shared" si="185"/>
        <v>110763639113951.25</v>
      </c>
      <c r="O957">
        <v>9.5764902680000006</v>
      </c>
      <c r="P957" s="1">
        <f t="shared" si="186"/>
        <v>9.8007842897990984E+18</v>
      </c>
      <c r="Q957" s="1">
        <f t="shared" si="187"/>
        <v>1.0234213177815864E+18</v>
      </c>
    </row>
    <row r="958" spans="1:17" x14ac:dyDescent="0.2">
      <c r="A958">
        <f t="shared" si="188"/>
        <v>957</v>
      </c>
      <c r="B958">
        <f t="shared" si="190"/>
        <v>176.47058823529412</v>
      </c>
      <c r="C958">
        <f t="shared" si="189"/>
        <v>957000</v>
      </c>
      <c r="E958" t="s">
        <v>14</v>
      </c>
      <c r="F958">
        <v>29.091350670000001</v>
      </c>
      <c r="G958">
        <v>43.429000000000002</v>
      </c>
      <c r="H958">
        <f t="shared" si="181"/>
        <v>0.66986001680904461</v>
      </c>
      <c r="I958">
        <v>421.72668670000002</v>
      </c>
      <c r="J958">
        <f t="shared" si="182"/>
        <v>629.57435302519423</v>
      </c>
      <c r="K958" s="1">
        <v>1.6899999999999999E-6</v>
      </c>
      <c r="L958" s="1">
        <f t="shared" si="183"/>
        <v>91070.040027786294</v>
      </c>
      <c r="M958" s="1">
        <f t="shared" si="184"/>
        <v>797773550.64340794</v>
      </c>
      <c r="N958">
        <f t="shared" si="185"/>
        <v>28966993480.055599</v>
      </c>
      <c r="O958">
        <v>9.0784671530000001</v>
      </c>
      <c r="P958" s="1">
        <f t="shared" si="186"/>
        <v>2638025255713288</v>
      </c>
      <c r="Q958" s="1">
        <f t="shared" si="187"/>
        <v>290580470387178.38</v>
      </c>
    </row>
    <row r="959" spans="1:17" x14ac:dyDescent="0.2">
      <c r="A959">
        <f t="shared" si="188"/>
        <v>958</v>
      </c>
      <c r="B959">
        <f t="shared" si="190"/>
        <v>176.47058823529412</v>
      </c>
      <c r="C959">
        <f t="shared" si="189"/>
        <v>958000</v>
      </c>
      <c r="E959" t="s">
        <v>14</v>
      </c>
      <c r="F959">
        <v>28.94789506</v>
      </c>
      <c r="G959">
        <v>43.429000000000002</v>
      </c>
      <c r="H959">
        <f t="shared" si="181"/>
        <v>0.66655679522899447</v>
      </c>
      <c r="I959">
        <v>711.36119550000001</v>
      </c>
      <c r="J959">
        <f t="shared" si="182"/>
        <v>1067.2176783609461</v>
      </c>
      <c r="K959" s="1">
        <v>1.72E-6</v>
      </c>
      <c r="L959" s="1">
        <f t="shared" si="183"/>
        <v>88601.279485011662</v>
      </c>
      <c r="M959" s="1">
        <f t="shared" si="184"/>
        <v>776147208.28870213</v>
      </c>
      <c r="N959">
        <f t="shared" si="185"/>
        <v>4.8929983135301645E+17</v>
      </c>
      <c r="O959">
        <v>9.2495437959999993</v>
      </c>
      <c r="P959" s="1">
        <f t="shared" si="186"/>
        <v>4.3352591109677684E+22</v>
      </c>
      <c r="Q959" s="1">
        <f t="shared" si="187"/>
        <v>4.6869977661412533E+21</v>
      </c>
    </row>
    <row r="960" spans="1:17" x14ac:dyDescent="0.2">
      <c r="A960">
        <f t="shared" si="188"/>
        <v>959</v>
      </c>
      <c r="B960">
        <f t="shared" si="190"/>
        <v>176.47058823529412</v>
      </c>
      <c r="C960">
        <f t="shared" si="189"/>
        <v>959000</v>
      </c>
      <c r="E960" t="s">
        <v>14</v>
      </c>
      <c r="F960">
        <v>28.778338569999999</v>
      </c>
      <c r="G960">
        <v>43.429000000000002</v>
      </c>
      <c r="H960">
        <f t="shared" si="181"/>
        <v>0.66265257247461373</v>
      </c>
      <c r="I960">
        <v>1801.9833349999999</v>
      </c>
      <c r="J960">
        <f t="shared" si="182"/>
        <v>2719.3485845390483</v>
      </c>
      <c r="K960" s="1">
        <v>1.7400000000000001E-6</v>
      </c>
      <c r="L960" s="1">
        <f t="shared" si="183"/>
        <v>86559.880522918131</v>
      </c>
      <c r="M960" s="1">
        <f t="shared" si="184"/>
        <v>758264553.38076282</v>
      </c>
      <c r="N960">
        <f t="shared" si="185"/>
        <v>9.4294694739263361E+44</v>
      </c>
      <c r="O960">
        <v>9.6905413629999995</v>
      </c>
      <c r="P960" s="1">
        <f t="shared" si="186"/>
        <v>8.1621375105756732E+49</v>
      </c>
      <c r="Q960" s="1">
        <f t="shared" si="187"/>
        <v>8.4227879587202314E+48</v>
      </c>
    </row>
    <row r="961" spans="1:17" x14ac:dyDescent="0.2">
      <c r="A961">
        <f t="shared" si="188"/>
        <v>960</v>
      </c>
      <c r="B961">
        <f t="shared" si="190"/>
        <v>176.47058823529412</v>
      </c>
      <c r="C961">
        <f t="shared" si="189"/>
        <v>960000</v>
      </c>
      <c r="E961" t="s">
        <v>14</v>
      </c>
      <c r="F961">
        <v>31.144837299999999</v>
      </c>
      <c r="G961">
        <v>43.429000000000002</v>
      </c>
      <c r="H961">
        <f t="shared" si="181"/>
        <v>0.71714378180478477</v>
      </c>
      <c r="I961">
        <v>2706.1525969999998</v>
      </c>
      <c r="J961">
        <f t="shared" si="182"/>
        <v>3773.514692116019</v>
      </c>
      <c r="K961" s="1">
        <v>1.3999999999999999E-6</v>
      </c>
      <c r="L961" s="1">
        <f t="shared" si="183"/>
        <v>126002.32492641087</v>
      </c>
      <c r="M961" s="1">
        <f t="shared" si="184"/>
        <v>1103780366.3553593</v>
      </c>
      <c r="N961">
        <f t="shared" si="185"/>
        <v>2.4211492416626971E+62</v>
      </c>
      <c r="O961">
        <v>5.9382603410000003</v>
      </c>
      <c r="P961" s="1">
        <f t="shared" si="186"/>
        <v>3.0507043344331642E+67</v>
      </c>
      <c r="Q961" s="1">
        <f t="shared" si="187"/>
        <v>5.137370474261536E+66</v>
      </c>
    </row>
    <row r="962" spans="1:17" x14ac:dyDescent="0.2">
      <c r="A962">
        <f t="shared" si="188"/>
        <v>961</v>
      </c>
      <c r="B962">
        <f t="shared" si="190"/>
        <v>176.47058823529412</v>
      </c>
      <c r="C962">
        <f t="shared" si="189"/>
        <v>961000</v>
      </c>
      <c r="E962" t="s">
        <v>14</v>
      </c>
      <c r="F962">
        <v>31.087252500000002</v>
      </c>
      <c r="G962">
        <v>43.429000000000002</v>
      </c>
      <c r="H962">
        <f t="shared" si="181"/>
        <v>0.71581782910037073</v>
      </c>
      <c r="I962">
        <v>1347.7422180000001</v>
      </c>
      <c r="J962">
        <f t="shared" si="182"/>
        <v>1882.800571891067</v>
      </c>
      <c r="K962" s="1">
        <v>1.4100000000000001E-6</v>
      </c>
      <c r="L962" s="1">
        <f t="shared" si="183"/>
        <v>124646.48326885309</v>
      </c>
      <c r="M962" s="1">
        <f t="shared" si="184"/>
        <v>1091903193.435153</v>
      </c>
      <c r="N962">
        <f t="shared" si="185"/>
        <v>1.4418227703931263E+31</v>
      </c>
      <c r="O962">
        <v>5.881234793</v>
      </c>
      <c r="P962" s="1">
        <f t="shared" si="186"/>
        <v>1.7971813782645823E+36</v>
      </c>
      <c r="Q962" s="1">
        <f t="shared" si="187"/>
        <v>3.0557892033211031E+35</v>
      </c>
    </row>
    <row r="963" spans="1:17" x14ac:dyDescent="0.2">
      <c r="A963">
        <f t="shared" si="188"/>
        <v>962</v>
      </c>
      <c r="B963">
        <f t="shared" si="190"/>
        <v>176.47058823529412</v>
      </c>
      <c r="C963">
        <f t="shared" si="189"/>
        <v>962000</v>
      </c>
      <c r="E963" t="s">
        <v>14</v>
      </c>
      <c r="F963">
        <v>30.727356239999999</v>
      </c>
      <c r="G963">
        <v>43.429000000000002</v>
      </c>
      <c r="H963">
        <f t="shared" ref="H963:H1006" si="191">F963/43.429</f>
        <v>0.70753082594579653</v>
      </c>
      <c r="I963">
        <v>3414.0307790000002</v>
      </c>
      <c r="J963">
        <f t="shared" ref="J963:J1006" si="192">I963/H963</f>
        <v>4825.2749616050605</v>
      </c>
      <c r="K963" s="1">
        <v>1.4500000000000001E-6</v>
      </c>
      <c r="L963" s="1">
        <f t="shared" ref="L963:L1006" si="193">((H963^2)*0.343)/(K963)</f>
        <v>118417.76227213418</v>
      </c>
      <c r="M963" s="1">
        <f t="shared" ref="M963:M1006" si="194">L963*8760</f>
        <v>1037339597.5038954</v>
      </c>
      <c r="N963">
        <f t="shared" ref="N963:N1006" si="195">EXP((J963+3.9052)/(26.297))</f>
        <v>5.6731398478823546E+79</v>
      </c>
      <c r="O963">
        <v>6.4020681269999997</v>
      </c>
      <c r="P963" s="1">
        <f t="shared" ref="P963:P1006" si="196">L963*N963</f>
        <v>6.7180052584310411E+84</v>
      </c>
      <c r="Q963" s="1">
        <f t="shared" ref="Q963:Q1006" si="197">P963/O963</f>
        <v>1.0493492298369355E+84</v>
      </c>
    </row>
    <row r="964" spans="1:17" x14ac:dyDescent="0.2">
      <c r="A964">
        <f t="shared" ref="A964:A1000" si="198">A963+1</f>
        <v>963</v>
      </c>
      <c r="B964">
        <f t="shared" si="190"/>
        <v>176.47058823529412</v>
      </c>
      <c r="C964">
        <f t="shared" ref="C964:C1001" si="199">C963+1000</f>
        <v>963000</v>
      </c>
      <c r="E964" t="s">
        <v>14</v>
      </c>
      <c r="F964">
        <v>30.503896210000001</v>
      </c>
      <c r="G964">
        <v>43.429000000000002</v>
      </c>
      <c r="H964">
        <f t="shared" si="191"/>
        <v>0.70238541550576805</v>
      </c>
      <c r="I964">
        <v>3834.6436100000001</v>
      </c>
      <c r="J964">
        <f t="shared" si="192"/>
        <v>5459.4579063672336</v>
      </c>
      <c r="K964" s="1">
        <v>1.48E-6</v>
      </c>
      <c r="L964" s="1">
        <f t="shared" si="193"/>
        <v>114336.10018034944</v>
      </c>
      <c r="M964" s="1">
        <f t="shared" si="194"/>
        <v>1001584237.5798612</v>
      </c>
      <c r="N964">
        <f t="shared" si="195"/>
        <v>1.6878871734047196E+90</v>
      </c>
      <c r="O964">
        <v>6.679592457</v>
      </c>
      <c r="P964" s="1">
        <f t="shared" si="196"/>
        <v>1.9298643695152887E+95</v>
      </c>
      <c r="Q964" s="1">
        <f t="shared" si="197"/>
        <v>2.8891947853687574E+94</v>
      </c>
    </row>
    <row r="965" spans="1:17" x14ac:dyDescent="0.2">
      <c r="A965">
        <f t="shared" si="198"/>
        <v>964</v>
      </c>
      <c r="B965">
        <f t="shared" si="190"/>
        <v>176.47058823529412</v>
      </c>
      <c r="C965">
        <f t="shared" si="199"/>
        <v>964000</v>
      </c>
      <c r="E965" t="s">
        <v>14</v>
      </c>
      <c r="F965">
        <v>30.237601170000001</v>
      </c>
      <c r="G965">
        <v>43.429000000000002</v>
      </c>
      <c r="H965">
        <f t="shared" si="191"/>
        <v>0.69625368233208229</v>
      </c>
      <c r="I965">
        <v>563.86484810000002</v>
      </c>
      <c r="J965">
        <f t="shared" si="192"/>
        <v>809.85546275511308</v>
      </c>
      <c r="K965" s="1">
        <v>1.5200000000000001E-6</v>
      </c>
      <c r="L965" s="1">
        <f t="shared" si="193"/>
        <v>109391.99488501156</v>
      </c>
      <c r="M965" s="1">
        <f t="shared" si="194"/>
        <v>958273875.19270122</v>
      </c>
      <c r="N965">
        <f t="shared" si="195"/>
        <v>27494302426193.52</v>
      </c>
      <c r="O965">
        <v>6.9190997569999997</v>
      </c>
      <c r="P965" s="1">
        <f t="shared" si="196"/>
        <v>3.0076565903731226E+18</v>
      </c>
      <c r="Q965" s="1">
        <f t="shared" si="197"/>
        <v>4.3468900521781024E+17</v>
      </c>
    </row>
    <row r="966" spans="1:17" x14ac:dyDescent="0.2">
      <c r="A966">
        <f t="shared" si="198"/>
        <v>965</v>
      </c>
      <c r="B966">
        <f t="shared" ref="B966:B989" si="200">3000/17</f>
        <v>176.47058823529412</v>
      </c>
      <c r="C966">
        <f t="shared" si="199"/>
        <v>965000</v>
      </c>
      <c r="E966" t="s">
        <v>14</v>
      </c>
      <c r="F966">
        <v>30.315705380000001</v>
      </c>
      <c r="G966">
        <v>43.429000000000002</v>
      </c>
      <c r="H966">
        <f t="shared" si="191"/>
        <v>0.69805211678832113</v>
      </c>
      <c r="I966">
        <v>2145.048581</v>
      </c>
      <c r="J966">
        <f t="shared" si="192"/>
        <v>3072.9060616121151</v>
      </c>
      <c r="K966" s="1">
        <v>1.5099999999999999E-6</v>
      </c>
      <c r="L966" s="1">
        <f t="shared" si="193"/>
        <v>110686.04497295432</v>
      </c>
      <c r="M966" s="1">
        <f t="shared" si="194"/>
        <v>969609753.96307981</v>
      </c>
      <c r="N966">
        <f t="shared" si="195"/>
        <v>6.508525820069883E+50</v>
      </c>
      <c r="O966">
        <v>7.2270377129999996</v>
      </c>
      <c r="P966" s="1">
        <f t="shared" si="196"/>
        <v>7.204029816278895E+55</v>
      </c>
      <c r="Q966" s="1">
        <f t="shared" si="197"/>
        <v>9.9681641391192442E+54</v>
      </c>
    </row>
    <row r="967" spans="1:17" x14ac:dyDescent="0.2">
      <c r="A967">
        <f t="shared" si="198"/>
        <v>966</v>
      </c>
      <c r="B967">
        <f t="shared" si="200"/>
        <v>176.47058823529412</v>
      </c>
      <c r="C967">
        <f t="shared" si="199"/>
        <v>966000</v>
      </c>
      <c r="E967" t="s">
        <v>14</v>
      </c>
      <c r="F967">
        <v>30.164368140000001</v>
      </c>
      <c r="G967">
        <v>43.429000000000002</v>
      </c>
      <c r="H967">
        <f t="shared" si="191"/>
        <v>0.69456741209790696</v>
      </c>
      <c r="I967">
        <v>2706.1525969999998</v>
      </c>
      <c r="J967">
        <f t="shared" si="192"/>
        <v>3896.169831559183</v>
      </c>
      <c r="K967" s="1">
        <v>1.53E-6</v>
      </c>
      <c r="L967" s="1">
        <f t="shared" si="193"/>
        <v>108151.23807339584</v>
      </c>
      <c r="M967" s="1">
        <f t="shared" si="194"/>
        <v>947404845.52294755</v>
      </c>
      <c r="N967">
        <f t="shared" si="195"/>
        <v>2.5684373798738897E+64</v>
      </c>
      <c r="O967">
        <v>7.6984489050000002</v>
      </c>
      <c r="P967" s="1">
        <f t="shared" si="196"/>
        <v>2.7777968254735008E+69</v>
      </c>
      <c r="Q967" s="1">
        <f t="shared" si="197"/>
        <v>3.6082551949774886E+68</v>
      </c>
    </row>
    <row r="968" spans="1:17" x14ac:dyDescent="0.2">
      <c r="A968">
        <f t="shared" si="198"/>
        <v>967</v>
      </c>
      <c r="B968">
        <f t="shared" si="200"/>
        <v>176.47058823529412</v>
      </c>
      <c r="C968">
        <f t="shared" si="199"/>
        <v>967000</v>
      </c>
      <c r="E968" t="s">
        <v>14</v>
      </c>
      <c r="F968">
        <v>30.147161109999999</v>
      </c>
      <c r="G968">
        <v>43.429000000000002</v>
      </c>
      <c r="H968">
        <f t="shared" si="191"/>
        <v>0.69417120150130096</v>
      </c>
      <c r="I968">
        <v>633.33369760000005</v>
      </c>
      <c r="J968">
        <f t="shared" si="192"/>
        <v>912.35951049290702</v>
      </c>
      <c r="K968" s="1">
        <v>1.53E-6</v>
      </c>
      <c r="L968" s="1">
        <f t="shared" si="193"/>
        <v>108027.88519533309</v>
      </c>
      <c r="M968" s="1">
        <f t="shared" si="194"/>
        <v>946324274.31111789</v>
      </c>
      <c r="N968">
        <f t="shared" si="195"/>
        <v>1355486541006573.5</v>
      </c>
      <c r="O968">
        <v>7.3334854009999999</v>
      </c>
      <c r="P968" s="1">
        <f t="shared" si="196"/>
        <v>1.4643034443567728E+20</v>
      </c>
      <c r="Q968" s="1">
        <f t="shared" si="197"/>
        <v>1.9967360188064182E+19</v>
      </c>
    </row>
    <row r="969" spans="1:17" x14ac:dyDescent="0.2">
      <c r="A969">
        <f t="shared" si="198"/>
        <v>968</v>
      </c>
      <c r="B969">
        <f t="shared" si="200"/>
        <v>176.47058823529412</v>
      </c>
      <c r="C969">
        <f t="shared" si="199"/>
        <v>968000</v>
      </c>
      <c r="E969" t="s">
        <v>14</v>
      </c>
      <c r="F969">
        <v>30.012071049999999</v>
      </c>
      <c r="G969">
        <v>43.429000000000002</v>
      </c>
      <c r="H969">
        <f t="shared" si="191"/>
        <v>0.69106060581638995</v>
      </c>
      <c r="I969">
        <v>2868.012698</v>
      </c>
      <c r="J969">
        <f t="shared" si="192"/>
        <v>4150.1608887282036</v>
      </c>
      <c r="K969" s="1">
        <v>1.55E-6</v>
      </c>
      <c r="L969" s="1">
        <f t="shared" si="193"/>
        <v>105680.45999521379</v>
      </c>
      <c r="M969" s="1">
        <f t="shared" si="194"/>
        <v>925760829.55807281</v>
      </c>
      <c r="N969">
        <f t="shared" si="195"/>
        <v>4.0209319346103133E+68</v>
      </c>
      <c r="O969">
        <v>7.2042274940000004</v>
      </c>
      <c r="P969" s="1">
        <f t="shared" si="196"/>
        <v>4.249339364590628E+73</v>
      </c>
      <c r="Q969" s="1">
        <f t="shared" si="197"/>
        <v>5.8983969733460886E+72</v>
      </c>
    </row>
    <row r="970" spans="1:17" x14ac:dyDescent="0.2">
      <c r="A970">
        <f t="shared" si="198"/>
        <v>969</v>
      </c>
      <c r="B970">
        <f t="shared" si="200"/>
        <v>176.47058823529412</v>
      </c>
      <c r="C970">
        <f t="shared" si="199"/>
        <v>969000</v>
      </c>
      <c r="E970" t="s">
        <v>14</v>
      </c>
      <c r="F970">
        <v>29.656566550000001</v>
      </c>
      <c r="G970">
        <v>43.429000000000002</v>
      </c>
      <c r="H970">
        <f t="shared" si="191"/>
        <v>0.68287472771650282</v>
      </c>
      <c r="I970">
        <v>3221.355423</v>
      </c>
      <c r="J970">
        <f t="shared" si="192"/>
        <v>4717.3446201063016</v>
      </c>
      <c r="K970" s="1">
        <v>1.5999999999999999E-6</v>
      </c>
      <c r="L970" s="1">
        <f t="shared" si="193"/>
        <v>99966.898473489724</v>
      </c>
      <c r="M970" s="1">
        <f t="shared" si="194"/>
        <v>875710030.62776995</v>
      </c>
      <c r="N970">
        <f t="shared" si="195"/>
        <v>9.3617241743741286E+77</v>
      </c>
      <c r="O970">
        <v>8.8237530409999998</v>
      </c>
      <c r="P970" s="1">
        <f t="shared" si="196"/>
        <v>9.3586253007647299E+82</v>
      </c>
      <c r="Q970" s="1">
        <f t="shared" si="197"/>
        <v>1.0606173197821177E+82</v>
      </c>
    </row>
    <row r="971" spans="1:17" x14ac:dyDescent="0.2">
      <c r="A971">
        <f t="shared" si="198"/>
        <v>970</v>
      </c>
      <c r="B971">
        <f t="shared" si="200"/>
        <v>176.47058823529412</v>
      </c>
      <c r="C971">
        <f t="shared" si="199"/>
        <v>970000</v>
      </c>
      <c r="E971" t="s">
        <v>14</v>
      </c>
      <c r="F971">
        <v>29.531699979999999</v>
      </c>
      <c r="G971">
        <v>43.429000000000002</v>
      </c>
      <c r="H971">
        <f t="shared" si="191"/>
        <v>0.67999953901770704</v>
      </c>
      <c r="I971">
        <v>597.59067030000006</v>
      </c>
      <c r="J971">
        <f t="shared" si="192"/>
        <v>878.81040502358178</v>
      </c>
      <c r="K971" s="1">
        <v>1.6199999999999999E-6</v>
      </c>
      <c r="L971" s="1">
        <f t="shared" si="193"/>
        <v>97903.077136452397</v>
      </c>
      <c r="M971" s="1">
        <f t="shared" si="194"/>
        <v>857630955.71532297</v>
      </c>
      <c r="N971">
        <f t="shared" si="195"/>
        <v>378470763627753.69</v>
      </c>
      <c r="O971">
        <v>9.4092153280000002</v>
      </c>
      <c r="P971" s="1">
        <f t="shared" si="196"/>
        <v>3.7053452365340008E+19</v>
      </c>
      <c r="Q971" s="1">
        <f t="shared" si="197"/>
        <v>3.9379960043082573E+18</v>
      </c>
    </row>
    <row r="972" spans="1:17" x14ac:dyDescent="0.2">
      <c r="A972">
        <f t="shared" si="198"/>
        <v>971</v>
      </c>
      <c r="B972">
        <f t="shared" si="200"/>
        <v>176.47058823529412</v>
      </c>
      <c r="C972">
        <f t="shared" si="199"/>
        <v>971000</v>
      </c>
      <c r="E972" t="s">
        <v>14</v>
      </c>
      <c r="F972">
        <v>29.47017726</v>
      </c>
      <c r="G972">
        <v>43.429000000000002</v>
      </c>
      <c r="H972">
        <f t="shared" si="191"/>
        <v>0.67858291141863725</v>
      </c>
      <c r="I972">
        <v>473.68393809999998</v>
      </c>
      <c r="J972">
        <f t="shared" si="192"/>
        <v>698.04872791406149</v>
      </c>
      <c r="K972" s="1">
        <v>1.6300000000000001E-6</v>
      </c>
      <c r="L972" s="1">
        <f t="shared" si="193"/>
        <v>96897.45111079888</v>
      </c>
      <c r="M972" s="1">
        <f t="shared" si="194"/>
        <v>848821671.73059821</v>
      </c>
      <c r="N972">
        <f t="shared" si="195"/>
        <v>391522288913.85883</v>
      </c>
      <c r="O972">
        <v>9.6183090020000002</v>
      </c>
      <c r="P972" s="1">
        <f t="shared" si="196"/>
        <v>3.7937511848818712E+16</v>
      </c>
      <c r="Q972" s="1">
        <f t="shared" si="197"/>
        <v>3944301627336999.5</v>
      </c>
    </row>
    <row r="973" spans="1:17" x14ac:dyDescent="0.2">
      <c r="A973">
        <f t="shared" si="198"/>
        <v>972</v>
      </c>
      <c r="B973">
        <f t="shared" si="200"/>
        <v>176.47058823529412</v>
      </c>
      <c r="C973">
        <f t="shared" si="199"/>
        <v>972000</v>
      </c>
      <c r="E973" t="s">
        <v>14</v>
      </c>
      <c r="F973">
        <v>29.570025990000001</v>
      </c>
      <c r="G973">
        <v>43.429000000000002</v>
      </c>
      <c r="H973">
        <f t="shared" si="191"/>
        <v>0.68088203711805473</v>
      </c>
      <c r="I973">
        <v>446.95095679999997</v>
      </c>
      <c r="J973">
        <f t="shared" si="192"/>
        <v>656.42935550450625</v>
      </c>
      <c r="K973" s="1">
        <v>1.6199999999999999E-6</v>
      </c>
      <c r="L973" s="1">
        <f t="shared" si="193"/>
        <v>98157.357731617914</v>
      </c>
      <c r="M973" s="1">
        <f t="shared" si="194"/>
        <v>859858453.72897291</v>
      </c>
      <c r="N973">
        <f t="shared" si="195"/>
        <v>80429117669.538391</v>
      </c>
      <c r="O973">
        <v>8.8845802920000008</v>
      </c>
      <c r="P973" s="1">
        <f t="shared" si="196"/>
        <v>7894709675127271</v>
      </c>
      <c r="Q973" s="1">
        <f t="shared" si="197"/>
        <v>888585551107682</v>
      </c>
    </row>
    <row r="974" spans="1:17" x14ac:dyDescent="0.2">
      <c r="A974">
        <f t="shared" si="198"/>
        <v>973</v>
      </c>
      <c r="B974">
        <f t="shared" si="200"/>
        <v>176.47058823529412</v>
      </c>
      <c r="C974">
        <f t="shared" si="199"/>
        <v>973000</v>
      </c>
      <c r="E974" t="s">
        <v>14</v>
      </c>
      <c r="F974">
        <v>29.499534730000001</v>
      </c>
      <c r="G974">
        <v>43.429000000000002</v>
      </c>
      <c r="H974">
        <f t="shared" si="191"/>
        <v>0.67925889912270598</v>
      </c>
      <c r="I974">
        <v>446.95095679999997</v>
      </c>
      <c r="J974">
        <f t="shared" si="192"/>
        <v>657.99794066335767</v>
      </c>
      <c r="K974" s="1">
        <v>1.6300000000000001E-6</v>
      </c>
      <c r="L974" s="1">
        <f t="shared" si="193"/>
        <v>97090.601011549035</v>
      </c>
      <c r="M974" s="1">
        <f t="shared" si="194"/>
        <v>850513664.86116958</v>
      </c>
      <c r="N974">
        <f t="shared" si="195"/>
        <v>85372590588.974396</v>
      </c>
      <c r="O974">
        <v>8.7287104620000004</v>
      </c>
      <c r="P974" s="1">
        <f t="shared" si="196"/>
        <v>8288876130196439</v>
      </c>
      <c r="Q974" s="1">
        <f t="shared" si="197"/>
        <v>949610617316457.25</v>
      </c>
    </row>
    <row r="975" spans="1:17" x14ac:dyDescent="0.2">
      <c r="A975">
        <f t="shared" si="198"/>
        <v>974</v>
      </c>
      <c r="B975">
        <f t="shared" si="200"/>
        <v>176.47058823529412</v>
      </c>
      <c r="C975">
        <f t="shared" si="199"/>
        <v>974000</v>
      </c>
      <c r="E975" t="s">
        <v>14</v>
      </c>
      <c r="F975">
        <v>29.415956439999999</v>
      </c>
      <c r="G975">
        <v>43.429000000000002</v>
      </c>
      <c r="H975">
        <f t="shared" si="191"/>
        <v>0.67733441801561167</v>
      </c>
      <c r="I975">
        <v>446.95095679999997</v>
      </c>
      <c r="J975">
        <f t="shared" si="192"/>
        <v>659.86748187023079</v>
      </c>
      <c r="K975" s="1">
        <v>1.64E-6</v>
      </c>
      <c r="L975" s="1">
        <f t="shared" si="193"/>
        <v>95952.55880682425</v>
      </c>
      <c r="M975" s="1">
        <f t="shared" si="194"/>
        <v>840544415.14778042</v>
      </c>
      <c r="N975">
        <f t="shared" si="195"/>
        <v>91662964644.226654</v>
      </c>
      <c r="O975">
        <v>9.3978102190000001</v>
      </c>
      <c r="P975" s="1">
        <f t="shared" si="196"/>
        <v>8795296005433010</v>
      </c>
      <c r="Q975" s="1">
        <f t="shared" si="197"/>
        <v>935887807954574.5</v>
      </c>
    </row>
    <row r="976" spans="1:17" x14ac:dyDescent="0.2">
      <c r="A976">
        <f t="shared" si="198"/>
        <v>975</v>
      </c>
      <c r="B976">
        <f t="shared" si="200"/>
        <v>176.47058823529412</v>
      </c>
      <c r="C976">
        <f t="shared" si="199"/>
        <v>975000</v>
      </c>
      <c r="E976" t="s">
        <v>14</v>
      </c>
      <c r="F976">
        <v>29.125814049999999</v>
      </c>
      <c r="G976">
        <v>43.429000000000002</v>
      </c>
      <c r="H976">
        <f t="shared" si="191"/>
        <v>0.67065357364894418</v>
      </c>
      <c r="I976">
        <v>397.92598170000002</v>
      </c>
      <c r="J976">
        <f t="shared" si="192"/>
        <v>593.34058198621585</v>
      </c>
      <c r="K976" s="1">
        <v>1.6899999999999999E-6</v>
      </c>
      <c r="L976" s="1">
        <f t="shared" si="193"/>
        <v>91285.942033075888</v>
      </c>
      <c r="M976" s="1">
        <f t="shared" si="194"/>
        <v>799664852.20974481</v>
      </c>
      <c r="N976">
        <f t="shared" si="195"/>
        <v>7303034373.1763763</v>
      </c>
      <c r="O976">
        <v>10.31021898</v>
      </c>
      <c r="P976" s="1">
        <f t="shared" si="196"/>
        <v>666664372455339.38</v>
      </c>
      <c r="Q976" s="1">
        <f t="shared" si="197"/>
        <v>64660544431553.805</v>
      </c>
    </row>
    <row r="977" spans="1:17" x14ac:dyDescent="0.2">
      <c r="A977">
        <f t="shared" si="198"/>
        <v>976</v>
      </c>
      <c r="B977">
        <f t="shared" si="200"/>
        <v>176.47058823529412</v>
      </c>
      <c r="C977">
        <f t="shared" si="199"/>
        <v>976000</v>
      </c>
      <c r="E977" t="s">
        <v>14</v>
      </c>
      <c r="F977">
        <v>29.196792810000002</v>
      </c>
      <c r="G977">
        <v>43.429000000000002</v>
      </c>
      <c r="H977">
        <f t="shared" si="191"/>
        <v>0.67228793686246513</v>
      </c>
      <c r="I977">
        <v>502.01586959999997</v>
      </c>
      <c r="J977">
        <f t="shared" si="192"/>
        <v>746.72746910034334</v>
      </c>
      <c r="K977" s="1">
        <v>1.68E-6</v>
      </c>
      <c r="L977" s="1">
        <f t="shared" si="193"/>
        <v>92277.42680203628</v>
      </c>
      <c r="M977" s="1">
        <f t="shared" si="194"/>
        <v>808350258.78583777</v>
      </c>
      <c r="N977">
        <f t="shared" si="195"/>
        <v>2492786166495.2295</v>
      </c>
      <c r="O977">
        <v>10.37484793</v>
      </c>
      <c r="P977" s="1">
        <f t="shared" si="196"/>
        <v>2.3002789301189216E+17</v>
      </c>
      <c r="Q977" s="1">
        <f t="shared" si="197"/>
        <v>2.217168816004922E+16</v>
      </c>
    </row>
    <row r="978" spans="1:17" x14ac:dyDescent="0.2">
      <c r="A978">
        <f t="shared" si="198"/>
        <v>977</v>
      </c>
      <c r="B978">
        <f t="shared" si="200"/>
        <v>176.47058823529412</v>
      </c>
      <c r="C978">
        <f t="shared" si="199"/>
        <v>977000</v>
      </c>
      <c r="E978" t="s">
        <v>14</v>
      </c>
      <c r="F978">
        <v>29.035471319999999</v>
      </c>
      <c r="G978">
        <v>43.429000000000002</v>
      </c>
      <c r="H978">
        <f t="shared" si="191"/>
        <v>0.66857333394736229</v>
      </c>
      <c r="I978">
        <v>597.59067030000006</v>
      </c>
      <c r="J978">
        <f t="shared" si="192"/>
        <v>893.82965182253167</v>
      </c>
      <c r="K978" s="1">
        <v>1.7E-6</v>
      </c>
      <c r="L978" s="1">
        <f t="shared" si="193"/>
        <v>90186.866989919712</v>
      </c>
      <c r="M978" s="1">
        <f t="shared" si="194"/>
        <v>790036954.83169663</v>
      </c>
      <c r="N978">
        <f t="shared" si="195"/>
        <v>670000191962146.75</v>
      </c>
      <c r="O978">
        <v>10.26459854</v>
      </c>
      <c r="P978" s="1">
        <f t="shared" si="196"/>
        <v>6.0425218195710804E+19</v>
      </c>
      <c r="Q978" s="1">
        <f t="shared" si="197"/>
        <v>5.8867590349725266E+18</v>
      </c>
    </row>
    <row r="979" spans="1:17" x14ac:dyDescent="0.2">
      <c r="A979">
        <f t="shared" si="198"/>
        <v>978</v>
      </c>
      <c r="B979">
        <f t="shared" si="200"/>
        <v>176.47058823529412</v>
      </c>
      <c r="C979">
        <f t="shared" si="199"/>
        <v>978000</v>
      </c>
      <c r="E979" t="s">
        <v>14</v>
      </c>
      <c r="F979">
        <v>29.028903230000001</v>
      </c>
      <c r="G979">
        <v>43.429000000000002</v>
      </c>
      <c r="H979">
        <f t="shared" si="191"/>
        <v>0.66842209652536322</v>
      </c>
      <c r="I979">
        <v>633.33369760000005</v>
      </c>
      <c r="J979">
        <f t="shared" si="192"/>
        <v>947.50562689689332</v>
      </c>
      <c r="K979" s="1">
        <v>1.7E-6</v>
      </c>
      <c r="L979" s="1">
        <f t="shared" si="193"/>
        <v>90146.069411360688</v>
      </c>
      <c r="M979" s="1">
        <f t="shared" si="194"/>
        <v>789679568.04351962</v>
      </c>
      <c r="N979">
        <f t="shared" si="195"/>
        <v>5158609930374179</v>
      </c>
      <c r="O979">
        <v>10.051703160000001</v>
      </c>
      <c r="P979" s="1">
        <f t="shared" si="196"/>
        <v>4.6502840884964524E+20</v>
      </c>
      <c r="Q979" s="1">
        <f t="shared" si="197"/>
        <v>4.6263643230153368E+19</v>
      </c>
    </row>
    <row r="980" spans="1:17" x14ac:dyDescent="0.2">
      <c r="A980">
        <f t="shared" si="198"/>
        <v>979</v>
      </c>
      <c r="B980">
        <f t="shared" si="200"/>
        <v>176.47058823529412</v>
      </c>
      <c r="C980">
        <f t="shared" si="199"/>
        <v>979000</v>
      </c>
      <c r="E980" t="s">
        <v>14</v>
      </c>
      <c r="F980">
        <v>29.055086589999998</v>
      </c>
      <c r="G980">
        <v>43.429000000000002</v>
      </c>
      <c r="H980">
        <f t="shared" si="191"/>
        <v>0.66902499689147799</v>
      </c>
      <c r="I980">
        <v>2023.9899190000001</v>
      </c>
      <c r="J980">
        <f t="shared" si="192"/>
        <v>3025.2829541559117</v>
      </c>
      <c r="K980" s="1">
        <v>1.7E-6</v>
      </c>
      <c r="L980" s="1">
        <f t="shared" si="193"/>
        <v>90308.761845714849</v>
      </c>
      <c r="M980" s="1">
        <f t="shared" si="194"/>
        <v>791104753.76846206</v>
      </c>
      <c r="N980">
        <f t="shared" si="195"/>
        <v>1.0641132948085808E+50</v>
      </c>
      <c r="O980">
        <v>10.05930657</v>
      </c>
      <c r="P980" s="1">
        <f t="shared" si="196"/>
        <v>9.6098754117727081E+54</v>
      </c>
      <c r="Q980" s="1">
        <f t="shared" si="197"/>
        <v>9.5532185493107081E+53</v>
      </c>
    </row>
    <row r="981" spans="1:17" x14ac:dyDescent="0.2">
      <c r="A981">
        <f t="shared" si="198"/>
        <v>980</v>
      </c>
      <c r="B981">
        <f t="shared" si="200"/>
        <v>176.47058823529412</v>
      </c>
      <c r="C981">
        <f t="shared" si="199"/>
        <v>980000</v>
      </c>
      <c r="E981" t="s">
        <v>14</v>
      </c>
      <c r="F981">
        <v>28.933673939999998</v>
      </c>
      <c r="G981">
        <v>43.429000000000002</v>
      </c>
      <c r="H981">
        <f t="shared" si="191"/>
        <v>0.66622933846047561</v>
      </c>
      <c r="I981">
        <v>1347.7422180000001</v>
      </c>
      <c r="J981">
        <f t="shared" si="192"/>
        <v>2022.9403603185144</v>
      </c>
      <c r="K981" s="1">
        <v>1.72E-6</v>
      </c>
      <c r="L981" s="1">
        <f t="shared" si="193"/>
        <v>88514.247255198061</v>
      </c>
      <c r="M981" s="1">
        <f t="shared" si="194"/>
        <v>775384805.95553505</v>
      </c>
      <c r="N981">
        <f t="shared" si="195"/>
        <v>2.9738425059315967E+33</v>
      </c>
      <c r="O981">
        <v>10.306417270000001</v>
      </c>
      <c r="P981" s="1">
        <f t="shared" si="196"/>
        <v>2.6322743086804717E+38</v>
      </c>
      <c r="Q981" s="1">
        <f t="shared" si="197"/>
        <v>2.5540148819148981E+37</v>
      </c>
    </row>
    <row r="982" spans="1:17" x14ac:dyDescent="0.2">
      <c r="A982">
        <f t="shared" si="198"/>
        <v>981</v>
      </c>
      <c r="B982">
        <f t="shared" si="200"/>
        <v>176.47058823529412</v>
      </c>
      <c r="C982">
        <f t="shared" si="199"/>
        <v>981000</v>
      </c>
      <c r="E982" t="s">
        <v>14</v>
      </c>
      <c r="F982">
        <v>30.766068480000001</v>
      </c>
      <c r="G982">
        <v>43.429000000000002</v>
      </c>
      <c r="H982">
        <f t="shared" si="191"/>
        <v>0.70842221741232814</v>
      </c>
      <c r="I982">
        <v>1008.005486</v>
      </c>
      <c r="J982">
        <f t="shared" si="192"/>
        <v>1422.8880196360403</v>
      </c>
      <c r="K982" s="1">
        <v>1.4500000000000001E-6</v>
      </c>
      <c r="L982" s="1">
        <f t="shared" si="193"/>
        <v>118716.33039746633</v>
      </c>
      <c r="M982" s="1">
        <f t="shared" si="194"/>
        <v>1039955054.281805</v>
      </c>
      <c r="N982">
        <f t="shared" si="195"/>
        <v>3.6598589956151827E+23</v>
      </c>
      <c r="O982">
        <v>6.5617396589999997</v>
      </c>
      <c r="P982" s="1">
        <f t="shared" si="196"/>
        <v>4.3448502973159134E+28</v>
      </c>
      <c r="Q982" s="1">
        <f t="shared" si="197"/>
        <v>6.6214914384123292E+27</v>
      </c>
    </row>
    <row r="983" spans="1:17" x14ac:dyDescent="0.2">
      <c r="A983">
        <f t="shared" si="198"/>
        <v>982</v>
      </c>
      <c r="B983">
        <f t="shared" si="200"/>
        <v>176.47058823529412</v>
      </c>
      <c r="C983">
        <f t="shared" si="199"/>
        <v>982000</v>
      </c>
      <c r="E983" t="s">
        <v>14</v>
      </c>
      <c r="F983">
        <v>30.511166500000002</v>
      </c>
      <c r="G983">
        <v>43.429000000000002</v>
      </c>
      <c r="H983">
        <f t="shared" si="191"/>
        <v>0.70255282184715284</v>
      </c>
      <c r="I983">
        <v>2553.4272850000002</v>
      </c>
      <c r="J983">
        <f t="shared" si="192"/>
        <v>3634.4986534770806</v>
      </c>
      <c r="K983" s="1">
        <v>1.48E-6</v>
      </c>
      <c r="L983" s="1">
        <f t="shared" si="193"/>
        <v>114390.60834289952</v>
      </c>
      <c r="M983" s="1">
        <f t="shared" si="194"/>
        <v>1002061729.0837998</v>
      </c>
      <c r="N983">
        <f t="shared" si="195"/>
        <v>1.2251074571380756E+60</v>
      </c>
      <c r="O983">
        <v>6.9076946469999996</v>
      </c>
      <c r="P983" s="1">
        <f t="shared" si="196"/>
        <v>1.4014078730744716E+65</v>
      </c>
      <c r="Q983" s="1">
        <f t="shared" si="197"/>
        <v>2.0287634944649744E+64</v>
      </c>
    </row>
    <row r="984" spans="1:17" x14ac:dyDescent="0.2">
      <c r="A984">
        <f t="shared" si="198"/>
        <v>983</v>
      </c>
      <c r="B984">
        <f t="shared" si="200"/>
        <v>176.47058823529412</v>
      </c>
      <c r="C984">
        <f t="shared" si="199"/>
        <v>983000</v>
      </c>
      <c r="E984" t="s">
        <v>14</v>
      </c>
      <c r="F984">
        <v>30.35096308</v>
      </c>
      <c r="G984">
        <v>43.429000000000002</v>
      </c>
      <c r="H984">
        <f t="shared" si="191"/>
        <v>0.69886396371088444</v>
      </c>
      <c r="I984">
        <v>2023.9899190000001</v>
      </c>
      <c r="J984">
        <f t="shared" si="192"/>
        <v>2896.1142999173326</v>
      </c>
      <c r="K984" s="1">
        <v>1.5E-6</v>
      </c>
      <c r="L984" s="1">
        <f t="shared" si="193"/>
        <v>111683.27869491675</v>
      </c>
      <c r="M984" s="1">
        <f t="shared" si="194"/>
        <v>978345521.36747074</v>
      </c>
      <c r="N984">
        <f t="shared" si="195"/>
        <v>7.8301461502370815E+47</v>
      </c>
      <c r="O984">
        <v>7.0483576640000001</v>
      </c>
      <c r="P984" s="1">
        <f t="shared" si="196"/>
        <v>8.7449639471885747E+52</v>
      </c>
      <c r="Q984" s="1">
        <f t="shared" si="197"/>
        <v>1.2407094480823689E+52</v>
      </c>
    </row>
    <row r="985" spans="1:17" x14ac:dyDescent="0.2">
      <c r="A985">
        <f t="shared" si="198"/>
        <v>984</v>
      </c>
      <c r="B985">
        <f t="shared" si="200"/>
        <v>176.47058823529412</v>
      </c>
      <c r="C985">
        <f t="shared" si="199"/>
        <v>984000</v>
      </c>
      <c r="E985" t="s">
        <v>14</v>
      </c>
      <c r="F985">
        <v>30.324012230000001</v>
      </c>
      <c r="G985">
        <v>43.429000000000002</v>
      </c>
      <c r="H985">
        <f t="shared" si="191"/>
        <v>0.69824339105206201</v>
      </c>
      <c r="I985">
        <v>3221.355423</v>
      </c>
      <c r="J985">
        <f t="shared" si="192"/>
        <v>4613.5136605393391</v>
      </c>
      <c r="K985" s="1">
        <v>1.5099999999999999E-6</v>
      </c>
      <c r="L985" s="1">
        <f t="shared" si="193"/>
        <v>110746.71176802902</v>
      </c>
      <c r="M985" s="1">
        <f t="shared" si="194"/>
        <v>970141195.08793426</v>
      </c>
      <c r="N985">
        <f t="shared" si="195"/>
        <v>1.8054664061544497E+76</v>
      </c>
      <c r="O985">
        <v>7.3867092459999997</v>
      </c>
      <c r="P985" s="1">
        <f t="shared" si="196"/>
        <v>1.9994946768924607E+81</v>
      </c>
      <c r="Q985" s="1">
        <f t="shared" si="197"/>
        <v>2.7068815223439496E+80</v>
      </c>
    </row>
    <row r="986" spans="1:17" x14ac:dyDescent="0.2">
      <c r="A986">
        <f t="shared" si="198"/>
        <v>985</v>
      </c>
      <c r="B986">
        <f t="shared" si="200"/>
        <v>176.47058823529412</v>
      </c>
      <c r="C986">
        <f t="shared" si="199"/>
        <v>985000</v>
      </c>
      <c r="E986" t="s">
        <v>14</v>
      </c>
      <c r="F986">
        <v>30.186876789999999</v>
      </c>
      <c r="G986">
        <v>43.429000000000002</v>
      </c>
      <c r="H986">
        <f t="shared" si="191"/>
        <v>0.69508569826613553</v>
      </c>
      <c r="I986">
        <v>502.01586959999997</v>
      </c>
      <c r="J986">
        <f t="shared" si="192"/>
        <v>722.23593558644529</v>
      </c>
      <c r="K986" s="1">
        <v>1.53E-6</v>
      </c>
      <c r="L986" s="1">
        <f t="shared" si="193"/>
        <v>108312.70319045987</v>
      </c>
      <c r="M986" s="1">
        <f t="shared" si="194"/>
        <v>948819279.94842851</v>
      </c>
      <c r="N986">
        <f t="shared" si="195"/>
        <v>982217778041.06433</v>
      </c>
      <c r="O986">
        <v>7.9037408759999996</v>
      </c>
      <c r="P986" s="1">
        <f t="shared" si="196"/>
        <v>1.063866626613548E+17</v>
      </c>
      <c r="Q986" s="1">
        <f t="shared" si="197"/>
        <v>1.3460292326182128E+16</v>
      </c>
    </row>
    <row r="987" spans="1:17" x14ac:dyDescent="0.2">
      <c r="A987">
        <f t="shared" si="198"/>
        <v>986</v>
      </c>
      <c r="B987">
        <f t="shared" si="200"/>
        <v>176.47058823529412</v>
      </c>
      <c r="C987">
        <f t="shared" si="199"/>
        <v>986000</v>
      </c>
      <c r="E987" t="s">
        <v>14</v>
      </c>
      <c r="F987">
        <v>30.158602760000001</v>
      </c>
      <c r="G987">
        <v>43.429000000000002</v>
      </c>
      <c r="H987">
        <f t="shared" si="191"/>
        <v>0.6944346579474544</v>
      </c>
      <c r="I987">
        <v>502.01586959999997</v>
      </c>
      <c r="J987">
        <f t="shared" si="192"/>
        <v>722.91303991625637</v>
      </c>
      <c r="K987" s="1">
        <v>1.53E-6</v>
      </c>
      <c r="L987" s="1">
        <f t="shared" si="193"/>
        <v>108109.8996708491</v>
      </c>
      <c r="M987" s="1">
        <f t="shared" si="194"/>
        <v>947042721.11663818</v>
      </c>
      <c r="N987">
        <f t="shared" si="195"/>
        <v>1007836670753.9</v>
      </c>
      <c r="O987">
        <v>7.35629562</v>
      </c>
      <c r="P987" s="1">
        <f t="shared" si="196"/>
        <v>1.0895712135980672E+17</v>
      </c>
      <c r="Q987" s="1">
        <f t="shared" si="197"/>
        <v>1.4811411475033506E+16</v>
      </c>
    </row>
    <row r="988" spans="1:17" x14ac:dyDescent="0.2">
      <c r="A988">
        <f t="shared" si="198"/>
        <v>987</v>
      </c>
      <c r="B988">
        <f t="shared" si="200"/>
        <v>176.47058823529412</v>
      </c>
      <c r="C988">
        <f t="shared" si="199"/>
        <v>987000</v>
      </c>
      <c r="E988" t="s">
        <v>14</v>
      </c>
      <c r="F988">
        <v>29.980166069999999</v>
      </c>
      <c r="G988">
        <v>43.429000000000002</v>
      </c>
      <c r="H988">
        <f t="shared" si="191"/>
        <v>0.69032595892145798</v>
      </c>
      <c r="I988">
        <v>502.01586959999997</v>
      </c>
      <c r="J988">
        <f t="shared" si="192"/>
        <v>727.21569153263863</v>
      </c>
      <c r="K988" s="1">
        <v>1.5600000000000001E-6</v>
      </c>
      <c r="L988" s="1">
        <f t="shared" si="193"/>
        <v>104779.88835856722</v>
      </c>
      <c r="M988" s="1">
        <f t="shared" si="194"/>
        <v>917871822.02104878</v>
      </c>
      <c r="N988">
        <f t="shared" si="195"/>
        <v>1186993581063.7026</v>
      </c>
      <c r="O988">
        <v>7.1167883209999996</v>
      </c>
      <c r="P988" s="1">
        <f t="shared" si="196"/>
        <v>1.2437305490619067E+17</v>
      </c>
      <c r="Q988" s="1">
        <f t="shared" si="197"/>
        <v>1.7476008741076996E+16</v>
      </c>
    </row>
    <row r="989" spans="1:17" x14ac:dyDescent="0.2">
      <c r="A989">
        <f t="shared" si="198"/>
        <v>988</v>
      </c>
      <c r="B989">
        <f t="shared" si="200"/>
        <v>176.47058823529412</v>
      </c>
      <c r="C989">
        <f t="shared" si="199"/>
        <v>988000</v>
      </c>
      <c r="E989" t="s">
        <v>14</v>
      </c>
      <c r="F989">
        <v>29.14610643</v>
      </c>
      <c r="G989">
        <v>43.429000000000002</v>
      </c>
      <c r="H989">
        <f t="shared" si="191"/>
        <v>0.67112082778788362</v>
      </c>
      <c r="I989">
        <v>502.01586959999997</v>
      </c>
      <c r="J989">
        <f t="shared" si="192"/>
        <v>748.02606149882229</v>
      </c>
      <c r="K989" s="1">
        <v>1.68E-6</v>
      </c>
      <c r="L989" s="1">
        <f t="shared" si="193"/>
        <v>91957.312954350069</v>
      </c>
      <c r="M989" s="1">
        <f t="shared" si="194"/>
        <v>805546061.48010659</v>
      </c>
      <c r="N989">
        <f t="shared" si="195"/>
        <v>2618974416410.2798</v>
      </c>
      <c r="O989">
        <v>10.085918489999999</v>
      </c>
      <c r="P989" s="1">
        <f t="shared" si="196"/>
        <v>2.4083385002927645E+17</v>
      </c>
      <c r="Q989" s="1">
        <f t="shared" si="197"/>
        <v>2.3878226883159796E+16</v>
      </c>
    </row>
    <row r="990" spans="1:17" x14ac:dyDescent="0.2">
      <c r="A990">
        <f t="shared" si="198"/>
        <v>989</v>
      </c>
      <c r="B990">
        <f t="shared" ref="B990:B1000" si="201">3000/16</f>
        <v>187.5</v>
      </c>
      <c r="C990">
        <f t="shared" si="199"/>
        <v>989000</v>
      </c>
      <c r="E990" t="s">
        <v>14</v>
      </c>
      <c r="F990">
        <v>30.794885059999999</v>
      </c>
      <c r="G990">
        <v>43.429000000000002</v>
      </c>
      <c r="H990">
        <f t="shared" si="191"/>
        <v>0.7090857505353565</v>
      </c>
      <c r="I990">
        <v>2023.9899190000001</v>
      </c>
      <c r="J990">
        <f t="shared" si="192"/>
        <v>2854.3655227479849</v>
      </c>
      <c r="K990" s="1">
        <v>1.44E-6</v>
      </c>
      <c r="L990" s="1">
        <f t="shared" si="193"/>
        <v>119764.78635626072</v>
      </c>
      <c r="M990" s="1">
        <f t="shared" si="194"/>
        <v>1049139528.4808439</v>
      </c>
      <c r="N990">
        <f t="shared" si="195"/>
        <v>1.6006248842328006E+47</v>
      </c>
      <c r="O990">
        <v>6.3526459849999997</v>
      </c>
      <c r="P990" s="1">
        <f t="shared" si="196"/>
        <v>1.9169849729665593E+52</v>
      </c>
      <c r="Q990" s="1">
        <f t="shared" si="197"/>
        <v>3.0176165608676828E+51</v>
      </c>
    </row>
    <row r="991" spans="1:17" x14ac:dyDescent="0.2">
      <c r="A991">
        <f t="shared" si="198"/>
        <v>990</v>
      </c>
      <c r="B991">
        <f t="shared" si="201"/>
        <v>187.5</v>
      </c>
      <c r="C991">
        <f t="shared" si="199"/>
        <v>990000</v>
      </c>
      <c r="E991" t="s">
        <v>14</v>
      </c>
      <c r="F991">
        <v>30.74422307</v>
      </c>
      <c r="G991">
        <v>43.429000000000002</v>
      </c>
      <c r="H991">
        <f t="shared" si="191"/>
        <v>0.70791920306707501</v>
      </c>
      <c r="I991">
        <v>2023.9899190000001</v>
      </c>
      <c r="J991">
        <f t="shared" si="192"/>
        <v>2859.0691003027191</v>
      </c>
      <c r="K991" s="1">
        <v>1.4500000000000001E-6</v>
      </c>
      <c r="L991" s="1">
        <f t="shared" si="193"/>
        <v>118547.80147475521</v>
      </c>
      <c r="M991" s="1">
        <f t="shared" si="194"/>
        <v>1038478740.9188557</v>
      </c>
      <c r="N991">
        <f t="shared" si="195"/>
        <v>1.9141195681464014E+47</v>
      </c>
      <c r="O991">
        <v>6.2461982970000003</v>
      </c>
      <c r="P991" s="1">
        <f t="shared" si="196"/>
        <v>2.2691466656356377E+52</v>
      </c>
      <c r="Q991" s="1">
        <f t="shared" si="197"/>
        <v>3.6328444243044456E+51</v>
      </c>
    </row>
    <row r="992" spans="1:17" x14ac:dyDescent="0.2">
      <c r="A992">
        <f t="shared" si="198"/>
        <v>991</v>
      </c>
      <c r="B992">
        <f t="shared" si="201"/>
        <v>187.5</v>
      </c>
      <c r="C992">
        <f t="shared" si="199"/>
        <v>991000</v>
      </c>
      <c r="E992" t="s">
        <v>14</v>
      </c>
      <c r="F992">
        <v>29.66678018</v>
      </c>
      <c r="G992">
        <v>43.429000000000002</v>
      </c>
      <c r="H992">
        <f t="shared" si="191"/>
        <v>0.68310990766538482</v>
      </c>
      <c r="I992">
        <v>2023.9899190000001</v>
      </c>
      <c r="J992">
        <f t="shared" si="192"/>
        <v>2962.9052313371412</v>
      </c>
      <c r="K992" s="1">
        <v>1.5999999999999999E-6</v>
      </c>
      <c r="L992" s="1">
        <f t="shared" si="193"/>
        <v>100035.76691316215</v>
      </c>
      <c r="M992" s="1">
        <f t="shared" si="194"/>
        <v>876313318.15930045</v>
      </c>
      <c r="N992">
        <f t="shared" si="195"/>
        <v>9.9270657662521559E+48</v>
      </c>
      <c r="O992">
        <v>9.5726885639999999</v>
      </c>
      <c r="P992" s="1">
        <f t="shared" si="196"/>
        <v>9.9306163712443213E+53</v>
      </c>
      <c r="Q992" s="1">
        <f t="shared" si="197"/>
        <v>1.0373905204218572E+53</v>
      </c>
    </row>
    <row r="993" spans="1:17" x14ac:dyDescent="0.2">
      <c r="A993">
        <f t="shared" si="198"/>
        <v>992</v>
      </c>
      <c r="B993">
        <f t="shared" si="201"/>
        <v>187.5</v>
      </c>
      <c r="C993">
        <f t="shared" si="199"/>
        <v>992000</v>
      </c>
      <c r="E993" t="s">
        <v>14</v>
      </c>
      <c r="F993">
        <v>29.648998580000001</v>
      </c>
      <c r="G993">
        <v>43.429000000000002</v>
      </c>
      <c r="H993">
        <f t="shared" si="191"/>
        <v>0.68270046696907594</v>
      </c>
      <c r="I993">
        <v>2409.32123</v>
      </c>
      <c r="J993">
        <f t="shared" si="192"/>
        <v>3529.1044119193994</v>
      </c>
      <c r="K993" s="1">
        <v>1.5999999999999999E-6</v>
      </c>
      <c r="L993" s="1">
        <f t="shared" si="193"/>
        <v>99915.884479205924</v>
      </c>
      <c r="M993" s="1">
        <f t="shared" si="194"/>
        <v>875263148.03784394</v>
      </c>
      <c r="N993">
        <f t="shared" si="195"/>
        <v>2.2263332893384428E+58</v>
      </c>
      <c r="O993">
        <v>9.89203163</v>
      </c>
      <c r="P993" s="1">
        <f t="shared" si="196"/>
        <v>2.224460597497504E+63</v>
      </c>
      <c r="Q993" s="1">
        <f t="shared" si="197"/>
        <v>2.2487398753874627E+62</v>
      </c>
    </row>
    <row r="994" spans="1:17" x14ac:dyDescent="0.2">
      <c r="A994">
        <f t="shared" si="198"/>
        <v>993</v>
      </c>
      <c r="B994">
        <f t="shared" si="201"/>
        <v>187.5</v>
      </c>
      <c r="C994">
        <f t="shared" si="199"/>
        <v>993000</v>
      </c>
      <c r="E994" t="s">
        <v>14</v>
      </c>
      <c r="F994">
        <v>29.444211729999999</v>
      </c>
      <c r="G994">
        <v>43.429000000000002</v>
      </c>
      <c r="H994">
        <f t="shared" si="191"/>
        <v>0.67798502682539308</v>
      </c>
      <c r="I994">
        <v>2706.1525969999998</v>
      </c>
      <c r="J994">
        <f t="shared" si="192"/>
        <v>3991.4636605934029</v>
      </c>
      <c r="K994" s="1">
        <v>1.64E-6</v>
      </c>
      <c r="L994" s="1">
        <f t="shared" si="193"/>
        <v>96136.980447319613</v>
      </c>
      <c r="M994" s="1">
        <f t="shared" si="194"/>
        <v>842159948.71851981</v>
      </c>
      <c r="N994">
        <f t="shared" si="195"/>
        <v>9.6259777597306973E+65</v>
      </c>
      <c r="O994">
        <v>10.230383209999999</v>
      </c>
      <c r="P994" s="1">
        <f t="shared" si="196"/>
        <v>9.2541243567356346E+70</v>
      </c>
      <c r="Q994" s="1">
        <f t="shared" si="197"/>
        <v>9.0457260170761823E+69</v>
      </c>
    </row>
    <row r="995" spans="1:17" x14ac:dyDescent="0.2">
      <c r="A995">
        <f t="shared" si="198"/>
        <v>994</v>
      </c>
      <c r="B995">
        <f t="shared" si="201"/>
        <v>187.5</v>
      </c>
      <c r="C995">
        <f t="shared" si="199"/>
        <v>994000</v>
      </c>
      <c r="E995" t="s">
        <v>14</v>
      </c>
      <c r="F995">
        <v>29.496338189999999</v>
      </c>
      <c r="G995">
        <v>43.429000000000002</v>
      </c>
      <c r="H995">
        <f t="shared" si="191"/>
        <v>0.67918529530958571</v>
      </c>
      <c r="I995">
        <v>2706.1525969999998</v>
      </c>
      <c r="J995">
        <f t="shared" si="192"/>
        <v>3984.4098741367529</v>
      </c>
      <c r="K995" s="1">
        <v>1.6300000000000001E-6</v>
      </c>
      <c r="L995" s="1">
        <f t="shared" si="193"/>
        <v>97069.56087123671</v>
      </c>
      <c r="M995" s="1">
        <f t="shared" si="194"/>
        <v>850329353.23203361</v>
      </c>
      <c r="N995">
        <f t="shared" si="195"/>
        <v>7.3612522064034509E+65</v>
      </c>
      <c r="O995">
        <v>10.19996959</v>
      </c>
      <c r="P995" s="1">
        <f t="shared" si="196"/>
        <v>7.145535191380053E+70</v>
      </c>
      <c r="Q995" s="1">
        <f t="shared" si="197"/>
        <v>7.0054475440647402E+69</v>
      </c>
    </row>
    <row r="996" spans="1:17" x14ac:dyDescent="0.2">
      <c r="A996">
        <f t="shared" si="198"/>
        <v>995</v>
      </c>
      <c r="B996">
        <f t="shared" si="201"/>
        <v>187.5</v>
      </c>
      <c r="C996">
        <f t="shared" si="199"/>
        <v>995000</v>
      </c>
      <c r="E996" t="s">
        <v>14</v>
      </c>
      <c r="F996">
        <v>29.750557610000001</v>
      </c>
      <c r="G996">
        <v>43.429000000000002</v>
      </c>
      <c r="H996">
        <f t="shared" si="191"/>
        <v>0.68503897418775472</v>
      </c>
      <c r="I996">
        <v>3414.0307790000002</v>
      </c>
      <c r="J996">
        <f t="shared" si="192"/>
        <v>4983.7029828091017</v>
      </c>
      <c r="K996" s="1">
        <v>1.59E-6</v>
      </c>
      <c r="L996" s="1">
        <f t="shared" si="193"/>
        <v>101234.27036577389</v>
      </c>
      <c r="M996" s="1">
        <f t="shared" si="194"/>
        <v>886812208.40417922</v>
      </c>
      <c r="N996">
        <f t="shared" si="195"/>
        <v>2.3456294702082312E+82</v>
      </c>
      <c r="O996">
        <v>9.5118613140000008</v>
      </c>
      <c r="P996" s="1">
        <f t="shared" si="196"/>
        <v>2.3745808796498705E+87</v>
      </c>
      <c r="Q996" s="1">
        <f t="shared" si="197"/>
        <v>2.4964418648060521E+86</v>
      </c>
    </row>
    <row r="997" spans="1:17" x14ac:dyDescent="0.2">
      <c r="A997">
        <f t="shared" si="198"/>
        <v>996</v>
      </c>
      <c r="B997">
        <f t="shared" si="201"/>
        <v>187.5</v>
      </c>
      <c r="C997">
        <f t="shared" si="199"/>
        <v>996000</v>
      </c>
      <c r="E997" t="s">
        <v>14</v>
      </c>
      <c r="F997">
        <v>29.542038760000001</v>
      </c>
      <c r="G997">
        <v>43.429000000000002</v>
      </c>
      <c r="H997">
        <f t="shared" si="191"/>
        <v>0.68023760068157224</v>
      </c>
      <c r="I997">
        <v>2553.4272850000002</v>
      </c>
      <c r="J997">
        <f t="shared" si="192"/>
        <v>3753.7285243296797</v>
      </c>
      <c r="K997" s="1">
        <v>1.6199999999999999E-6</v>
      </c>
      <c r="L997" s="1">
        <f t="shared" si="193"/>
        <v>97971.639092401616</v>
      </c>
      <c r="M997" s="1">
        <f t="shared" si="194"/>
        <v>858231558.44943821</v>
      </c>
      <c r="N997">
        <f t="shared" si="195"/>
        <v>1.1409151721423637E+62</v>
      </c>
      <c r="O997">
        <v>9.6791362529999994</v>
      </c>
      <c r="P997" s="1">
        <f t="shared" si="196"/>
        <v>1.1177732948017691E+67</v>
      </c>
      <c r="Q997" s="1">
        <f t="shared" si="197"/>
        <v>1.1548275234324973E+66</v>
      </c>
    </row>
    <row r="998" spans="1:17" x14ac:dyDescent="0.2">
      <c r="A998">
        <f t="shared" si="198"/>
        <v>997</v>
      </c>
      <c r="B998">
        <f t="shared" si="201"/>
        <v>187.5</v>
      </c>
      <c r="C998">
        <f t="shared" si="199"/>
        <v>997000</v>
      </c>
      <c r="E998" t="s">
        <v>14</v>
      </c>
      <c r="F998">
        <v>29.31068994</v>
      </c>
      <c r="G998">
        <v>43.429000000000002</v>
      </c>
      <c r="H998">
        <f t="shared" si="191"/>
        <v>0.67491054226438552</v>
      </c>
      <c r="I998">
        <v>2553.4272850000002</v>
      </c>
      <c r="J998">
        <f t="shared" si="192"/>
        <v>3783.356645212597</v>
      </c>
      <c r="K998" s="1">
        <v>1.66E-6</v>
      </c>
      <c r="L998" s="1">
        <f t="shared" si="193"/>
        <v>94119.249602677824</v>
      </c>
      <c r="M998" s="1">
        <f t="shared" si="194"/>
        <v>824484626.5194577</v>
      </c>
      <c r="N998">
        <f t="shared" si="195"/>
        <v>3.5201505586177728E+62</v>
      </c>
      <c r="O998">
        <v>10.56113139</v>
      </c>
      <c r="P998" s="1">
        <f t="shared" si="196"/>
        <v>3.3131392906555192E+67</v>
      </c>
      <c r="Q998" s="1">
        <f t="shared" si="197"/>
        <v>3.1371064030058615E+66</v>
      </c>
    </row>
    <row r="999" spans="1:17" x14ac:dyDescent="0.2">
      <c r="A999">
        <f t="shared" si="198"/>
        <v>998</v>
      </c>
      <c r="B999">
        <f t="shared" si="201"/>
        <v>187.5</v>
      </c>
      <c r="C999">
        <f t="shared" si="199"/>
        <v>998000</v>
      </c>
      <c r="E999" t="s">
        <v>14</v>
      </c>
      <c r="F999">
        <v>30.021667269999998</v>
      </c>
      <c r="G999">
        <v>43.429000000000002</v>
      </c>
      <c r="H999">
        <f t="shared" si="191"/>
        <v>0.69128156922793516</v>
      </c>
      <c r="I999">
        <v>2409.32123</v>
      </c>
      <c r="J999">
        <f t="shared" si="192"/>
        <v>3485.2964945830608</v>
      </c>
      <c r="K999" s="1">
        <v>1.55E-6</v>
      </c>
      <c r="L999" s="1">
        <f t="shared" si="193"/>
        <v>105748.05246987299</v>
      </c>
      <c r="M999" s="1">
        <f t="shared" si="194"/>
        <v>926352939.6360873</v>
      </c>
      <c r="N999">
        <f t="shared" si="195"/>
        <v>4.2082662924103184E+57</v>
      </c>
      <c r="O999">
        <v>8.3067214109999998</v>
      </c>
      <c r="P999" s="1">
        <f t="shared" si="196"/>
        <v>4.4501596469700417E+62</v>
      </c>
      <c r="Q999" s="1">
        <f t="shared" si="197"/>
        <v>5.3572997417212189E+61</v>
      </c>
    </row>
    <row r="1000" spans="1:17" x14ac:dyDescent="0.2">
      <c r="A1000">
        <f t="shared" si="198"/>
        <v>999</v>
      </c>
      <c r="B1000">
        <f t="shared" si="201"/>
        <v>187.5</v>
      </c>
      <c r="C1000">
        <f t="shared" si="199"/>
        <v>999000</v>
      </c>
      <c r="E1000" t="s">
        <v>14</v>
      </c>
      <c r="F1000">
        <v>30.005218849999999</v>
      </c>
      <c r="G1000">
        <v>43.429000000000002</v>
      </c>
      <c r="H1000">
        <f t="shared" si="191"/>
        <v>0.69090282645237044</v>
      </c>
      <c r="I1000">
        <v>3834.6436100000001</v>
      </c>
      <c r="J1000">
        <f t="shared" si="192"/>
        <v>5550.1923905710828</v>
      </c>
      <c r="K1000" s="1">
        <v>1.55E-6</v>
      </c>
      <c r="L1000" s="1">
        <f t="shared" si="193"/>
        <v>105632.20867790768</v>
      </c>
      <c r="M1000" s="1">
        <f t="shared" si="194"/>
        <v>925338148.01847124</v>
      </c>
      <c r="N1000">
        <f t="shared" si="195"/>
        <v>5.3188995332518578E+91</v>
      </c>
      <c r="O1000">
        <v>9.0974756689999996</v>
      </c>
      <c r="P1000" s="1">
        <f t="shared" si="196"/>
        <v>5.6184710543328594E+96</v>
      </c>
      <c r="Q1000" s="1">
        <f t="shared" si="197"/>
        <v>6.1758571924275843E+95</v>
      </c>
    </row>
    <row r="1001" spans="1:17" x14ac:dyDescent="0.2">
      <c r="A1001">
        <f>A1000+1</f>
        <v>1000</v>
      </c>
      <c r="B1001">
        <f>3000/16</f>
        <v>187.5</v>
      </c>
      <c r="C1001">
        <f t="shared" si="199"/>
        <v>1000000</v>
      </c>
      <c r="E1001" t="s">
        <v>14</v>
      </c>
      <c r="F1001">
        <v>29.63524688</v>
      </c>
      <c r="G1001">
        <v>43.429000000000002</v>
      </c>
      <c r="H1001">
        <f t="shared" si="191"/>
        <v>0.68238381910704826</v>
      </c>
      <c r="I1001">
        <v>2145.048581</v>
      </c>
      <c r="J1001">
        <f t="shared" si="192"/>
        <v>3143.46343060561</v>
      </c>
      <c r="K1001" s="1">
        <v>1.61E-6</v>
      </c>
      <c r="L1001" s="1">
        <f t="shared" si="193"/>
        <v>99203.200662508345</v>
      </c>
      <c r="M1001" s="1">
        <f t="shared" si="194"/>
        <v>869020037.80357313</v>
      </c>
      <c r="N1001">
        <f t="shared" si="195"/>
        <v>9.522178352544864E+51</v>
      </c>
      <c r="O1001">
        <v>10.11253041</v>
      </c>
      <c r="P1001" s="1">
        <f t="shared" si="196"/>
        <v>9.4463056985170126E+56</v>
      </c>
      <c r="Q1001" s="1">
        <f t="shared" si="197"/>
        <v>9.3411889166492131E+55</v>
      </c>
    </row>
    <row r="1002" spans="1:17" x14ac:dyDescent="0.2">
      <c r="E1002" t="s">
        <v>14</v>
      </c>
      <c r="F1002">
        <v>29.588366140000002</v>
      </c>
      <c r="G1002">
        <v>43.429000000000002</v>
      </c>
      <c r="H1002">
        <f t="shared" si="191"/>
        <v>0.68130433903612797</v>
      </c>
      <c r="I1002">
        <v>1909.763363</v>
      </c>
      <c r="J1002">
        <f t="shared" si="192"/>
        <v>2803.0987821123063</v>
      </c>
      <c r="K1002" s="1">
        <v>1.61E-6</v>
      </c>
      <c r="L1002" s="1">
        <f t="shared" si="193"/>
        <v>98889.584856883943</v>
      </c>
      <c r="M1002" s="1">
        <f t="shared" si="194"/>
        <v>866272763.34630334</v>
      </c>
      <c r="N1002">
        <f t="shared" si="195"/>
        <v>2.2783490764598722E+46</v>
      </c>
      <c r="O1002">
        <v>10.340632599999999</v>
      </c>
      <c r="P1002" s="1">
        <f t="shared" si="196"/>
        <v>2.2530499433018169E+51</v>
      </c>
      <c r="Q1002" s="1">
        <f t="shared" si="197"/>
        <v>2.1788318282401959E+50</v>
      </c>
    </row>
    <row r="1003" spans="1:17" x14ac:dyDescent="0.2">
      <c r="E1003" t="s">
        <v>14</v>
      </c>
      <c r="F1003">
        <v>29.669900219999999</v>
      </c>
      <c r="G1003">
        <v>43.429000000000002</v>
      </c>
      <c r="H1003">
        <f t="shared" si="191"/>
        <v>0.6831817499827304</v>
      </c>
      <c r="I1003">
        <v>421.72668670000002</v>
      </c>
      <c r="J1003">
        <f t="shared" si="192"/>
        <v>617.29793969271066</v>
      </c>
      <c r="K1003" s="1">
        <v>1.5999999999999999E-6</v>
      </c>
      <c r="L1003" s="1">
        <f t="shared" si="193"/>
        <v>100056.80943984177</v>
      </c>
      <c r="M1003" s="1">
        <f t="shared" si="194"/>
        <v>876497650.69301391</v>
      </c>
      <c r="N1003">
        <f t="shared" si="195"/>
        <v>18161791109.048893</v>
      </c>
      <c r="O1003">
        <v>10.602950119999999</v>
      </c>
      <c r="P1003" s="1">
        <f t="shared" si="196"/>
        <v>1817210872084317.8</v>
      </c>
      <c r="Q1003" s="1">
        <f t="shared" si="197"/>
        <v>171387288586463.5</v>
      </c>
    </row>
    <row r="1004" spans="1:17" x14ac:dyDescent="0.2">
      <c r="E1004" t="s">
        <v>14</v>
      </c>
      <c r="F1004">
        <v>29.790552479999999</v>
      </c>
      <c r="G1004">
        <v>43.429000000000002</v>
      </c>
      <c r="H1004">
        <f t="shared" si="191"/>
        <v>0.68595989960625381</v>
      </c>
      <c r="I1004">
        <v>1271.6805979999999</v>
      </c>
      <c r="J1004">
        <f t="shared" si="192"/>
        <v>1853.8701733584635</v>
      </c>
      <c r="K1004" s="1">
        <v>1.5799999999999999E-6</v>
      </c>
      <c r="L1004" s="1">
        <f t="shared" si="193"/>
        <v>102149.08700421703</v>
      </c>
      <c r="M1004" s="1">
        <f t="shared" si="194"/>
        <v>894826002.15694118</v>
      </c>
      <c r="N1004">
        <f t="shared" si="195"/>
        <v>4.7987361167435135E+30</v>
      </c>
      <c r="O1004">
        <v>9.2229318730000003</v>
      </c>
      <c r="P1004" s="1">
        <f t="shared" si="196"/>
        <v>4.9018651309951173E+35</v>
      </c>
      <c r="Q1004" s="1">
        <f t="shared" si="197"/>
        <v>5.3148664638250842E+34</v>
      </c>
    </row>
    <row r="1005" spans="1:17" x14ac:dyDescent="0.2">
      <c r="E1005" t="s">
        <v>14</v>
      </c>
      <c r="F1005">
        <v>29.565340769999999</v>
      </c>
      <c r="G1005">
        <v>43.429000000000002</v>
      </c>
      <c r="H1005">
        <f t="shared" si="191"/>
        <v>0.68077415482741943</v>
      </c>
      <c r="I1005">
        <v>4307.0764639999998</v>
      </c>
      <c r="J1005">
        <f t="shared" si="192"/>
        <v>6326.7332249002184</v>
      </c>
      <c r="K1005" s="1">
        <v>1.6199999999999999E-6</v>
      </c>
      <c r="L1005" s="1">
        <f t="shared" si="193"/>
        <v>98126.255129122626</v>
      </c>
      <c r="M1005" s="1">
        <f t="shared" si="194"/>
        <v>859585994.9311142</v>
      </c>
      <c r="N1005">
        <f t="shared" si="195"/>
        <v>3.5512373174785017E+104</v>
      </c>
      <c r="O1005">
        <v>10.504105839999999</v>
      </c>
      <c r="P1005" s="1">
        <f t="shared" si="196"/>
        <v>3.4846961903895652E+109</v>
      </c>
      <c r="Q1005" s="1">
        <f t="shared" si="197"/>
        <v>3.3174610418715709E+108</v>
      </c>
    </row>
    <row r="1006" spans="1:17" x14ac:dyDescent="0.2">
      <c r="E1006" t="s">
        <v>15</v>
      </c>
      <c r="F1006">
        <v>42.705516549999999</v>
      </c>
      <c r="G1006">
        <v>43.429000000000002</v>
      </c>
      <c r="H1006">
        <f t="shared" si="191"/>
        <v>0.983341006009809</v>
      </c>
      <c r="I1006">
        <v>2553.4272850000002</v>
      </c>
      <c r="J1006">
        <f t="shared" si="192"/>
        <v>2596.6854523450324</v>
      </c>
      <c r="K1006" s="1">
        <v>3.7299999999999999E-6</v>
      </c>
      <c r="L1006" s="1">
        <f t="shared" si="193"/>
        <v>88918.798980276537</v>
      </c>
      <c r="M1006" s="1">
        <f t="shared" si="194"/>
        <v>778928679.06722248</v>
      </c>
      <c r="N1006">
        <f t="shared" si="195"/>
        <v>8.8860312762034931E+42</v>
      </c>
      <c r="O1006">
        <v>2.0681265209999999</v>
      </c>
      <c r="P1006" s="1">
        <f t="shared" si="196"/>
        <v>7.9013522878118853E+47</v>
      </c>
      <c r="Q1006" s="1">
        <f t="shared" si="197"/>
        <v>3.8205362232825823E+47</v>
      </c>
    </row>
    <row r="1009" spans="6:6" x14ac:dyDescent="0.2">
      <c r="F1009">
        <f>AVERAGE(F2:F1006)</f>
        <v>21.148977141986073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Alana Archbold</dc:creator>
  <cp:lastModifiedBy>Alana Archbold</cp:lastModifiedBy>
  <dcterms:created xsi:type="dcterms:W3CDTF">2026-03-18T23:05:49Z</dcterms:created>
  <dcterms:modified xsi:type="dcterms:W3CDTF">2026-07-06T19:35:15Z</dcterms:modified>
</cp:coreProperties>
</file>